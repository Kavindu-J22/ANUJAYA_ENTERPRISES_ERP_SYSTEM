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\Desktop\China\"/>
    </mc:Choice>
  </mc:AlternateContent>
  <xr:revisionPtr revIDLastSave="0" documentId="8_{02166605-D662-4A67-9F50-5435035A55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 Dashboard" sheetId="1" r:id="rId1"/>
    <sheet name="Global Inflow Log" sheetId="2" r:id="rId2"/>
    <sheet name="China Outflow Log" sheetId="3" r:id="rId3"/>
    <sheet name="Friend &amp; Agent Settl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3" l="1"/>
  <c r="I10" i="3"/>
  <c r="H10" i="3"/>
  <c r="H11" i="3"/>
  <c r="J25" i="4"/>
  <c r="G25" i="4"/>
  <c r="G24" i="4"/>
  <c r="C9" i="1"/>
  <c r="I6" i="3"/>
  <c r="I7" i="3"/>
  <c r="I8" i="3"/>
  <c r="H6" i="3"/>
  <c r="H5" i="3"/>
  <c r="I5" i="3" s="1"/>
  <c r="G20" i="4"/>
  <c r="E42" i="4"/>
  <c r="C42" i="4"/>
  <c r="G41" i="4"/>
  <c r="I41" i="4" s="1"/>
  <c r="G40" i="4"/>
  <c r="E32" i="4"/>
  <c r="C32" i="4"/>
  <c r="D24" i="1" s="1"/>
  <c r="G31" i="4"/>
  <c r="G23" i="4"/>
  <c r="G22" i="4"/>
  <c r="G21" i="4"/>
  <c r="E15" i="4"/>
  <c r="C15" i="4"/>
  <c r="G14" i="4"/>
  <c r="G13" i="4"/>
  <c r="I13" i="4" s="1"/>
  <c r="G12" i="4"/>
  <c r="G11" i="4"/>
  <c r="I11" i="4" s="1"/>
  <c r="G7" i="4"/>
  <c r="H7" i="4" s="1"/>
  <c r="F500" i="3"/>
  <c r="H499" i="3"/>
  <c r="I499" i="3" s="1"/>
  <c r="I498" i="3"/>
  <c r="H498" i="3"/>
  <c r="H497" i="3"/>
  <c r="I497" i="3" s="1"/>
  <c r="I496" i="3"/>
  <c r="H496" i="3"/>
  <c r="H495" i="3"/>
  <c r="I495" i="3" s="1"/>
  <c r="I494" i="3"/>
  <c r="H494" i="3"/>
  <c r="H493" i="3"/>
  <c r="I493" i="3" s="1"/>
  <c r="I492" i="3"/>
  <c r="H492" i="3"/>
  <c r="H491" i="3"/>
  <c r="I491" i="3" s="1"/>
  <c r="I490" i="3"/>
  <c r="H490" i="3"/>
  <c r="H489" i="3"/>
  <c r="I489" i="3" s="1"/>
  <c r="I488" i="3"/>
  <c r="H488" i="3"/>
  <c r="H487" i="3"/>
  <c r="I487" i="3" s="1"/>
  <c r="I486" i="3"/>
  <c r="H486" i="3"/>
  <c r="H485" i="3"/>
  <c r="I485" i="3" s="1"/>
  <c r="I484" i="3"/>
  <c r="H484" i="3"/>
  <c r="H483" i="3"/>
  <c r="I483" i="3" s="1"/>
  <c r="I482" i="3"/>
  <c r="H482" i="3"/>
  <c r="H481" i="3"/>
  <c r="I481" i="3" s="1"/>
  <c r="I480" i="3"/>
  <c r="H480" i="3"/>
  <c r="H479" i="3"/>
  <c r="I479" i="3" s="1"/>
  <c r="I478" i="3"/>
  <c r="H478" i="3"/>
  <c r="H477" i="3"/>
  <c r="I477" i="3" s="1"/>
  <c r="I476" i="3"/>
  <c r="H476" i="3"/>
  <c r="H475" i="3"/>
  <c r="I475" i="3" s="1"/>
  <c r="I474" i="3"/>
  <c r="H474" i="3"/>
  <c r="H473" i="3"/>
  <c r="I473" i="3" s="1"/>
  <c r="I472" i="3"/>
  <c r="H472" i="3"/>
  <c r="H471" i="3"/>
  <c r="I471" i="3" s="1"/>
  <c r="I470" i="3"/>
  <c r="H470" i="3"/>
  <c r="H469" i="3"/>
  <c r="I469" i="3" s="1"/>
  <c r="I468" i="3"/>
  <c r="H468" i="3"/>
  <c r="H467" i="3"/>
  <c r="I467" i="3" s="1"/>
  <c r="I466" i="3"/>
  <c r="H466" i="3"/>
  <c r="H465" i="3"/>
  <c r="I465" i="3" s="1"/>
  <c r="I464" i="3"/>
  <c r="H464" i="3"/>
  <c r="H463" i="3"/>
  <c r="I463" i="3" s="1"/>
  <c r="I462" i="3"/>
  <c r="H462" i="3"/>
  <c r="H461" i="3"/>
  <c r="I461" i="3" s="1"/>
  <c r="I460" i="3"/>
  <c r="H460" i="3"/>
  <c r="H459" i="3"/>
  <c r="I459" i="3" s="1"/>
  <c r="I458" i="3"/>
  <c r="H458" i="3"/>
  <c r="H457" i="3"/>
  <c r="I457" i="3" s="1"/>
  <c r="I456" i="3"/>
  <c r="H456" i="3"/>
  <c r="H455" i="3"/>
  <c r="I455" i="3" s="1"/>
  <c r="I454" i="3"/>
  <c r="H454" i="3"/>
  <c r="H453" i="3"/>
  <c r="I453" i="3" s="1"/>
  <c r="I452" i="3"/>
  <c r="H452" i="3"/>
  <c r="H451" i="3"/>
  <c r="I451" i="3" s="1"/>
  <c r="H450" i="3"/>
  <c r="I450" i="3" s="1"/>
  <c r="H449" i="3"/>
  <c r="I449" i="3" s="1"/>
  <c r="I448" i="3"/>
  <c r="H448" i="3"/>
  <c r="H447" i="3"/>
  <c r="I447" i="3" s="1"/>
  <c r="H446" i="3"/>
  <c r="I446" i="3" s="1"/>
  <c r="H445" i="3"/>
  <c r="I445" i="3" s="1"/>
  <c r="H444" i="3"/>
  <c r="I444" i="3" s="1"/>
  <c r="H443" i="3"/>
  <c r="I443" i="3" s="1"/>
  <c r="H442" i="3"/>
  <c r="I442" i="3" s="1"/>
  <c r="H441" i="3"/>
  <c r="I441" i="3" s="1"/>
  <c r="I440" i="3"/>
  <c r="H440" i="3"/>
  <c r="H439" i="3"/>
  <c r="I439" i="3" s="1"/>
  <c r="H438" i="3"/>
  <c r="I438" i="3" s="1"/>
  <c r="H437" i="3"/>
  <c r="I437" i="3" s="1"/>
  <c r="H436" i="3"/>
  <c r="I436" i="3" s="1"/>
  <c r="H435" i="3"/>
  <c r="I435" i="3" s="1"/>
  <c r="H434" i="3"/>
  <c r="I434" i="3" s="1"/>
  <c r="H433" i="3"/>
  <c r="I433" i="3" s="1"/>
  <c r="I432" i="3"/>
  <c r="H432" i="3"/>
  <c r="H431" i="3"/>
  <c r="I431" i="3" s="1"/>
  <c r="H430" i="3"/>
  <c r="I430" i="3" s="1"/>
  <c r="H429" i="3"/>
  <c r="I429" i="3" s="1"/>
  <c r="H428" i="3"/>
  <c r="I428" i="3" s="1"/>
  <c r="H427" i="3"/>
  <c r="I427" i="3" s="1"/>
  <c r="H426" i="3"/>
  <c r="I426" i="3" s="1"/>
  <c r="H425" i="3"/>
  <c r="I425" i="3" s="1"/>
  <c r="I424" i="3"/>
  <c r="H424" i="3"/>
  <c r="H423" i="3"/>
  <c r="I423" i="3" s="1"/>
  <c r="H422" i="3"/>
  <c r="I422" i="3" s="1"/>
  <c r="H421" i="3"/>
  <c r="I421" i="3" s="1"/>
  <c r="H420" i="3"/>
  <c r="I420" i="3" s="1"/>
  <c r="H419" i="3"/>
  <c r="I419" i="3" s="1"/>
  <c r="H418" i="3"/>
  <c r="I418" i="3" s="1"/>
  <c r="H417" i="3"/>
  <c r="I417" i="3" s="1"/>
  <c r="I416" i="3"/>
  <c r="H416" i="3"/>
  <c r="H415" i="3"/>
  <c r="I415" i="3" s="1"/>
  <c r="H414" i="3"/>
  <c r="I414" i="3" s="1"/>
  <c r="H413" i="3"/>
  <c r="I413" i="3" s="1"/>
  <c r="H412" i="3"/>
  <c r="I412" i="3" s="1"/>
  <c r="H411" i="3"/>
  <c r="I411" i="3" s="1"/>
  <c r="H410" i="3"/>
  <c r="I410" i="3" s="1"/>
  <c r="H409" i="3"/>
  <c r="I409" i="3" s="1"/>
  <c r="I408" i="3"/>
  <c r="H408" i="3"/>
  <c r="H407" i="3"/>
  <c r="I407" i="3" s="1"/>
  <c r="H406" i="3"/>
  <c r="I406" i="3" s="1"/>
  <c r="H405" i="3"/>
  <c r="I405" i="3" s="1"/>
  <c r="H404" i="3"/>
  <c r="I404" i="3" s="1"/>
  <c r="H403" i="3"/>
  <c r="I403" i="3" s="1"/>
  <c r="H402" i="3"/>
  <c r="I402" i="3" s="1"/>
  <c r="H401" i="3"/>
  <c r="I401" i="3" s="1"/>
  <c r="I400" i="3"/>
  <c r="H400" i="3"/>
  <c r="H399" i="3"/>
  <c r="I399" i="3" s="1"/>
  <c r="H398" i="3"/>
  <c r="I398" i="3" s="1"/>
  <c r="H397" i="3"/>
  <c r="I397" i="3" s="1"/>
  <c r="H396" i="3"/>
  <c r="I396" i="3" s="1"/>
  <c r="H395" i="3"/>
  <c r="I395" i="3" s="1"/>
  <c r="H394" i="3"/>
  <c r="I394" i="3" s="1"/>
  <c r="H393" i="3"/>
  <c r="I393" i="3" s="1"/>
  <c r="I392" i="3"/>
  <c r="H392" i="3"/>
  <c r="H391" i="3"/>
  <c r="I391" i="3" s="1"/>
  <c r="H390" i="3"/>
  <c r="I390" i="3" s="1"/>
  <c r="H389" i="3"/>
  <c r="I389" i="3" s="1"/>
  <c r="H388" i="3"/>
  <c r="I388" i="3" s="1"/>
  <c r="H387" i="3"/>
  <c r="I387" i="3" s="1"/>
  <c r="H386" i="3"/>
  <c r="I386" i="3" s="1"/>
  <c r="H385" i="3"/>
  <c r="I385" i="3" s="1"/>
  <c r="I384" i="3"/>
  <c r="H384" i="3"/>
  <c r="H383" i="3"/>
  <c r="I383" i="3" s="1"/>
  <c r="H382" i="3"/>
  <c r="I382" i="3" s="1"/>
  <c r="H381" i="3"/>
  <c r="I381" i="3" s="1"/>
  <c r="H380" i="3"/>
  <c r="I380" i="3" s="1"/>
  <c r="H379" i="3"/>
  <c r="I379" i="3" s="1"/>
  <c r="H378" i="3"/>
  <c r="I378" i="3" s="1"/>
  <c r="H377" i="3"/>
  <c r="I377" i="3" s="1"/>
  <c r="I376" i="3"/>
  <c r="H376" i="3"/>
  <c r="H375" i="3"/>
  <c r="I375" i="3" s="1"/>
  <c r="H374" i="3"/>
  <c r="I374" i="3" s="1"/>
  <c r="H373" i="3"/>
  <c r="I373" i="3" s="1"/>
  <c r="I372" i="3"/>
  <c r="H372" i="3"/>
  <c r="H371" i="3"/>
  <c r="I371" i="3" s="1"/>
  <c r="H370" i="3"/>
  <c r="I370" i="3" s="1"/>
  <c r="H369" i="3"/>
  <c r="I369" i="3" s="1"/>
  <c r="I368" i="3"/>
  <c r="H368" i="3"/>
  <c r="H367" i="3"/>
  <c r="I367" i="3" s="1"/>
  <c r="I366" i="3"/>
  <c r="H366" i="3"/>
  <c r="H365" i="3"/>
  <c r="I365" i="3" s="1"/>
  <c r="H364" i="3"/>
  <c r="I364" i="3" s="1"/>
  <c r="H363" i="3"/>
  <c r="I363" i="3" s="1"/>
  <c r="H362" i="3"/>
  <c r="I362" i="3" s="1"/>
  <c r="H361" i="3"/>
  <c r="I361" i="3" s="1"/>
  <c r="I360" i="3"/>
  <c r="H360" i="3"/>
  <c r="H359" i="3"/>
  <c r="I359" i="3" s="1"/>
  <c r="H358" i="3"/>
  <c r="I358" i="3" s="1"/>
  <c r="H357" i="3"/>
  <c r="I357" i="3" s="1"/>
  <c r="H356" i="3"/>
  <c r="I356" i="3" s="1"/>
  <c r="H355" i="3"/>
  <c r="I355" i="3" s="1"/>
  <c r="H354" i="3"/>
  <c r="I354" i="3" s="1"/>
  <c r="H353" i="3"/>
  <c r="I353" i="3" s="1"/>
  <c r="I352" i="3"/>
  <c r="H352" i="3"/>
  <c r="H351" i="3"/>
  <c r="I351" i="3" s="1"/>
  <c r="H350" i="3"/>
  <c r="I350" i="3" s="1"/>
  <c r="H349" i="3"/>
  <c r="I349" i="3" s="1"/>
  <c r="H348" i="3"/>
  <c r="I348" i="3" s="1"/>
  <c r="H347" i="3"/>
  <c r="I347" i="3" s="1"/>
  <c r="H346" i="3"/>
  <c r="I346" i="3" s="1"/>
  <c r="H345" i="3"/>
  <c r="I345" i="3" s="1"/>
  <c r="H344" i="3"/>
  <c r="I344" i="3" s="1"/>
  <c r="I343" i="3"/>
  <c r="H343" i="3"/>
  <c r="H342" i="3"/>
  <c r="I342" i="3" s="1"/>
  <c r="H341" i="3"/>
  <c r="I341" i="3" s="1"/>
  <c r="H340" i="3"/>
  <c r="I340" i="3" s="1"/>
  <c r="H339" i="3"/>
  <c r="I339" i="3" s="1"/>
  <c r="H338" i="3"/>
  <c r="I338" i="3" s="1"/>
  <c r="H337" i="3"/>
  <c r="I337" i="3" s="1"/>
  <c r="H336" i="3"/>
  <c r="I336" i="3" s="1"/>
  <c r="I335" i="3"/>
  <c r="H335" i="3"/>
  <c r="H334" i="3"/>
  <c r="I334" i="3" s="1"/>
  <c r="H333" i="3"/>
  <c r="I333" i="3" s="1"/>
  <c r="H332" i="3"/>
  <c r="I332" i="3" s="1"/>
  <c r="H331" i="3"/>
  <c r="I331" i="3" s="1"/>
  <c r="H330" i="3"/>
  <c r="I330" i="3" s="1"/>
  <c r="H329" i="3"/>
  <c r="I329" i="3" s="1"/>
  <c r="H328" i="3"/>
  <c r="I328" i="3" s="1"/>
  <c r="I327" i="3"/>
  <c r="H327" i="3"/>
  <c r="H326" i="3"/>
  <c r="I326" i="3" s="1"/>
  <c r="H325" i="3"/>
  <c r="I325" i="3" s="1"/>
  <c r="H324" i="3"/>
  <c r="I324" i="3" s="1"/>
  <c r="H323" i="3"/>
  <c r="I323" i="3" s="1"/>
  <c r="H322" i="3"/>
  <c r="I322" i="3" s="1"/>
  <c r="H321" i="3"/>
  <c r="I321" i="3" s="1"/>
  <c r="H320" i="3"/>
  <c r="I320" i="3" s="1"/>
  <c r="I319" i="3"/>
  <c r="H319" i="3"/>
  <c r="H318" i="3"/>
  <c r="I318" i="3" s="1"/>
  <c r="H317" i="3"/>
  <c r="I317" i="3" s="1"/>
  <c r="H316" i="3"/>
  <c r="I316" i="3" s="1"/>
  <c r="H315" i="3"/>
  <c r="I315" i="3" s="1"/>
  <c r="H314" i="3"/>
  <c r="I314" i="3" s="1"/>
  <c r="H313" i="3"/>
  <c r="I313" i="3" s="1"/>
  <c r="H312" i="3"/>
  <c r="I312" i="3" s="1"/>
  <c r="I311" i="3"/>
  <c r="H311" i="3"/>
  <c r="H310" i="3"/>
  <c r="I310" i="3" s="1"/>
  <c r="H309" i="3"/>
  <c r="I309" i="3" s="1"/>
  <c r="H308" i="3"/>
  <c r="I308" i="3" s="1"/>
  <c r="H307" i="3"/>
  <c r="I307" i="3" s="1"/>
  <c r="H306" i="3"/>
  <c r="I306" i="3" s="1"/>
  <c r="H305" i="3"/>
  <c r="I305" i="3" s="1"/>
  <c r="H304" i="3"/>
  <c r="I304" i="3" s="1"/>
  <c r="I303" i="3"/>
  <c r="H303" i="3"/>
  <c r="H302" i="3"/>
  <c r="I302" i="3" s="1"/>
  <c r="H301" i="3"/>
  <c r="I301" i="3" s="1"/>
  <c r="H300" i="3"/>
  <c r="I300" i="3" s="1"/>
  <c r="H299" i="3"/>
  <c r="I299" i="3" s="1"/>
  <c r="H298" i="3"/>
  <c r="I298" i="3" s="1"/>
  <c r="H297" i="3"/>
  <c r="I297" i="3" s="1"/>
  <c r="H296" i="3"/>
  <c r="I296" i="3" s="1"/>
  <c r="I295" i="3"/>
  <c r="H295" i="3"/>
  <c r="H294" i="3"/>
  <c r="I294" i="3" s="1"/>
  <c r="H293" i="3"/>
  <c r="I293" i="3" s="1"/>
  <c r="H292" i="3"/>
  <c r="I292" i="3" s="1"/>
  <c r="H291" i="3"/>
  <c r="I291" i="3" s="1"/>
  <c r="H290" i="3"/>
  <c r="I290" i="3" s="1"/>
  <c r="H289" i="3"/>
  <c r="I289" i="3" s="1"/>
  <c r="H288" i="3"/>
  <c r="I288" i="3" s="1"/>
  <c r="I287" i="3"/>
  <c r="H287" i="3"/>
  <c r="H286" i="3"/>
  <c r="I286" i="3" s="1"/>
  <c r="H285" i="3"/>
  <c r="I285" i="3" s="1"/>
  <c r="H284" i="3"/>
  <c r="I284" i="3" s="1"/>
  <c r="H283" i="3"/>
  <c r="I283" i="3" s="1"/>
  <c r="H282" i="3"/>
  <c r="I282" i="3" s="1"/>
  <c r="H281" i="3"/>
  <c r="I281" i="3" s="1"/>
  <c r="H280" i="3"/>
  <c r="I280" i="3" s="1"/>
  <c r="I279" i="3"/>
  <c r="H279" i="3"/>
  <c r="H278" i="3"/>
  <c r="I278" i="3" s="1"/>
  <c r="H277" i="3"/>
  <c r="I277" i="3" s="1"/>
  <c r="H276" i="3"/>
  <c r="I276" i="3" s="1"/>
  <c r="H275" i="3"/>
  <c r="I275" i="3" s="1"/>
  <c r="H274" i="3"/>
  <c r="I274" i="3" s="1"/>
  <c r="H273" i="3"/>
  <c r="I273" i="3" s="1"/>
  <c r="H272" i="3"/>
  <c r="I272" i="3" s="1"/>
  <c r="I271" i="3"/>
  <c r="H271" i="3"/>
  <c r="H270" i="3"/>
  <c r="I270" i="3" s="1"/>
  <c r="H269" i="3"/>
  <c r="I269" i="3" s="1"/>
  <c r="H268" i="3"/>
  <c r="I268" i="3" s="1"/>
  <c r="H267" i="3"/>
  <c r="I267" i="3" s="1"/>
  <c r="H266" i="3"/>
  <c r="I266" i="3" s="1"/>
  <c r="H265" i="3"/>
  <c r="I265" i="3" s="1"/>
  <c r="H264" i="3"/>
  <c r="I264" i="3" s="1"/>
  <c r="I263" i="3"/>
  <c r="H263" i="3"/>
  <c r="H262" i="3"/>
  <c r="I262" i="3" s="1"/>
  <c r="H261" i="3"/>
  <c r="I261" i="3" s="1"/>
  <c r="H260" i="3"/>
  <c r="I260" i="3" s="1"/>
  <c r="H259" i="3"/>
  <c r="I259" i="3" s="1"/>
  <c r="H258" i="3"/>
  <c r="I258" i="3" s="1"/>
  <c r="H257" i="3"/>
  <c r="I257" i="3" s="1"/>
  <c r="H256" i="3"/>
  <c r="I256" i="3" s="1"/>
  <c r="I255" i="3"/>
  <c r="H255" i="3"/>
  <c r="H254" i="3"/>
  <c r="I254" i="3" s="1"/>
  <c r="H253" i="3"/>
  <c r="I253" i="3" s="1"/>
  <c r="H252" i="3"/>
  <c r="I252" i="3" s="1"/>
  <c r="H251" i="3"/>
  <c r="I251" i="3" s="1"/>
  <c r="H250" i="3"/>
  <c r="I250" i="3" s="1"/>
  <c r="H249" i="3"/>
  <c r="I249" i="3" s="1"/>
  <c r="H248" i="3"/>
  <c r="I248" i="3" s="1"/>
  <c r="I247" i="3"/>
  <c r="H247" i="3"/>
  <c r="H246" i="3"/>
  <c r="I246" i="3" s="1"/>
  <c r="H245" i="3"/>
  <c r="I245" i="3" s="1"/>
  <c r="H244" i="3"/>
  <c r="I244" i="3" s="1"/>
  <c r="H243" i="3"/>
  <c r="I243" i="3" s="1"/>
  <c r="H242" i="3"/>
  <c r="I242" i="3" s="1"/>
  <c r="H241" i="3"/>
  <c r="I241" i="3" s="1"/>
  <c r="H240" i="3"/>
  <c r="I240" i="3" s="1"/>
  <c r="I239" i="3"/>
  <c r="H239" i="3"/>
  <c r="H238" i="3"/>
  <c r="I238" i="3" s="1"/>
  <c r="H237" i="3"/>
  <c r="I237" i="3" s="1"/>
  <c r="H236" i="3"/>
  <c r="I236" i="3" s="1"/>
  <c r="H235" i="3"/>
  <c r="I235" i="3" s="1"/>
  <c r="H234" i="3"/>
  <c r="I234" i="3" s="1"/>
  <c r="H233" i="3"/>
  <c r="I233" i="3" s="1"/>
  <c r="H232" i="3"/>
  <c r="I232" i="3" s="1"/>
  <c r="I231" i="3"/>
  <c r="H231" i="3"/>
  <c r="H230" i="3"/>
  <c r="I230" i="3" s="1"/>
  <c r="H229" i="3"/>
  <c r="I229" i="3" s="1"/>
  <c r="H228" i="3"/>
  <c r="I228" i="3" s="1"/>
  <c r="H227" i="3"/>
  <c r="I227" i="3" s="1"/>
  <c r="H226" i="3"/>
  <c r="I226" i="3" s="1"/>
  <c r="H225" i="3"/>
  <c r="I225" i="3" s="1"/>
  <c r="H224" i="3"/>
  <c r="I224" i="3" s="1"/>
  <c r="I223" i="3"/>
  <c r="H223" i="3"/>
  <c r="H222" i="3"/>
  <c r="I222" i="3" s="1"/>
  <c r="H221" i="3"/>
  <c r="I221" i="3" s="1"/>
  <c r="H220" i="3"/>
  <c r="I220" i="3" s="1"/>
  <c r="H219" i="3"/>
  <c r="I219" i="3" s="1"/>
  <c r="H218" i="3"/>
  <c r="I218" i="3" s="1"/>
  <c r="H217" i="3"/>
  <c r="I217" i="3" s="1"/>
  <c r="H216" i="3"/>
  <c r="I216" i="3" s="1"/>
  <c r="I215" i="3"/>
  <c r="H215" i="3"/>
  <c r="H214" i="3"/>
  <c r="I214" i="3" s="1"/>
  <c r="H213" i="3"/>
  <c r="I213" i="3" s="1"/>
  <c r="H212" i="3"/>
  <c r="I212" i="3" s="1"/>
  <c r="H211" i="3"/>
  <c r="I211" i="3" s="1"/>
  <c r="H210" i="3"/>
  <c r="I210" i="3" s="1"/>
  <c r="H209" i="3"/>
  <c r="I209" i="3" s="1"/>
  <c r="H208" i="3"/>
  <c r="I208" i="3" s="1"/>
  <c r="I207" i="3"/>
  <c r="H207" i="3"/>
  <c r="H206" i="3"/>
  <c r="I206" i="3" s="1"/>
  <c r="I205" i="3"/>
  <c r="H205" i="3"/>
  <c r="H204" i="3"/>
  <c r="I204" i="3" s="1"/>
  <c r="I203" i="3"/>
  <c r="H203" i="3"/>
  <c r="H202" i="3"/>
  <c r="I202" i="3" s="1"/>
  <c r="I201" i="3"/>
  <c r="H201" i="3"/>
  <c r="H200" i="3"/>
  <c r="I200" i="3" s="1"/>
  <c r="I199" i="3"/>
  <c r="H199" i="3"/>
  <c r="H198" i="3"/>
  <c r="I198" i="3" s="1"/>
  <c r="I197" i="3"/>
  <c r="H197" i="3"/>
  <c r="H196" i="3"/>
  <c r="I196" i="3" s="1"/>
  <c r="I195" i="3"/>
  <c r="H195" i="3"/>
  <c r="H194" i="3"/>
  <c r="I194" i="3" s="1"/>
  <c r="I193" i="3"/>
  <c r="H193" i="3"/>
  <c r="H192" i="3"/>
  <c r="I192" i="3" s="1"/>
  <c r="I191" i="3"/>
  <c r="H191" i="3"/>
  <c r="H190" i="3"/>
  <c r="I190" i="3" s="1"/>
  <c r="I189" i="3"/>
  <c r="H189" i="3"/>
  <c r="H188" i="3"/>
  <c r="I188" i="3" s="1"/>
  <c r="I187" i="3"/>
  <c r="H187" i="3"/>
  <c r="H186" i="3"/>
  <c r="I186" i="3" s="1"/>
  <c r="I185" i="3"/>
  <c r="H185" i="3"/>
  <c r="H184" i="3"/>
  <c r="I184" i="3" s="1"/>
  <c r="I183" i="3"/>
  <c r="H183" i="3"/>
  <c r="H182" i="3"/>
  <c r="I182" i="3" s="1"/>
  <c r="I181" i="3"/>
  <c r="H181" i="3"/>
  <c r="H180" i="3"/>
  <c r="I180" i="3" s="1"/>
  <c r="I179" i="3"/>
  <c r="H179" i="3"/>
  <c r="H178" i="3"/>
  <c r="I178" i="3" s="1"/>
  <c r="I177" i="3"/>
  <c r="H177" i="3"/>
  <c r="H176" i="3"/>
  <c r="I176" i="3" s="1"/>
  <c r="I175" i="3"/>
  <c r="H175" i="3"/>
  <c r="H174" i="3"/>
  <c r="I174" i="3" s="1"/>
  <c r="I173" i="3"/>
  <c r="H173" i="3"/>
  <c r="H172" i="3"/>
  <c r="I172" i="3" s="1"/>
  <c r="I171" i="3"/>
  <c r="H171" i="3"/>
  <c r="H170" i="3"/>
  <c r="I170" i="3" s="1"/>
  <c r="I169" i="3"/>
  <c r="H169" i="3"/>
  <c r="H168" i="3"/>
  <c r="I168" i="3" s="1"/>
  <c r="I167" i="3"/>
  <c r="H167" i="3"/>
  <c r="H166" i="3"/>
  <c r="I166" i="3" s="1"/>
  <c r="I165" i="3"/>
  <c r="H165" i="3"/>
  <c r="H164" i="3"/>
  <c r="I164" i="3" s="1"/>
  <c r="I163" i="3"/>
  <c r="H163" i="3"/>
  <c r="H162" i="3"/>
  <c r="I162" i="3" s="1"/>
  <c r="I161" i="3"/>
  <c r="H161" i="3"/>
  <c r="H160" i="3"/>
  <c r="I160" i="3" s="1"/>
  <c r="I159" i="3"/>
  <c r="H159" i="3"/>
  <c r="H158" i="3"/>
  <c r="I158" i="3" s="1"/>
  <c r="I157" i="3"/>
  <c r="H157" i="3"/>
  <c r="H156" i="3"/>
  <c r="I156" i="3" s="1"/>
  <c r="I155" i="3"/>
  <c r="H155" i="3"/>
  <c r="H154" i="3"/>
  <c r="I154" i="3" s="1"/>
  <c r="I153" i="3"/>
  <c r="H153" i="3"/>
  <c r="H152" i="3"/>
  <c r="I152" i="3" s="1"/>
  <c r="I151" i="3"/>
  <c r="H151" i="3"/>
  <c r="H150" i="3"/>
  <c r="I150" i="3" s="1"/>
  <c r="I149" i="3"/>
  <c r="H149" i="3"/>
  <c r="H148" i="3"/>
  <c r="I148" i="3" s="1"/>
  <c r="I147" i="3"/>
  <c r="H147" i="3"/>
  <c r="H146" i="3"/>
  <c r="I146" i="3" s="1"/>
  <c r="I145" i="3"/>
  <c r="H145" i="3"/>
  <c r="H144" i="3"/>
  <c r="I144" i="3" s="1"/>
  <c r="I143" i="3"/>
  <c r="H143" i="3"/>
  <c r="H142" i="3"/>
  <c r="I142" i="3" s="1"/>
  <c r="I141" i="3"/>
  <c r="H141" i="3"/>
  <c r="H140" i="3"/>
  <c r="I140" i="3" s="1"/>
  <c r="I139" i="3"/>
  <c r="H139" i="3"/>
  <c r="H138" i="3"/>
  <c r="I138" i="3" s="1"/>
  <c r="I137" i="3"/>
  <c r="H137" i="3"/>
  <c r="H136" i="3"/>
  <c r="I136" i="3" s="1"/>
  <c r="I135" i="3"/>
  <c r="H135" i="3"/>
  <c r="H134" i="3"/>
  <c r="I134" i="3" s="1"/>
  <c r="I133" i="3"/>
  <c r="H133" i="3"/>
  <c r="H132" i="3"/>
  <c r="I132" i="3" s="1"/>
  <c r="I131" i="3"/>
  <c r="H131" i="3"/>
  <c r="H130" i="3"/>
  <c r="I130" i="3" s="1"/>
  <c r="I129" i="3"/>
  <c r="H129" i="3"/>
  <c r="H128" i="3"/>
  <c r="I128" i="3" s="1"/>
  <c r="I127" i="3"/>
  <c r="H127" i="3"/>
  <c r="H126" i="3"/>
  <c r="I126" i="3" s="1"/>
  <c r="I125" i="3"/>
  <c r="H125" i="3"/>
  <c r="H124" i="3"/>
  <c r="I124" i="3" s="1"/>
  <c r="I123" i="3"/>
  <c r="H123" i="3"/>
  <c r="H122" i="3"/>
  <c r="I122" i="3" s="1"/>
  <c r="I121" i="3"/>
  <c r="H121" i="3"/>
  <c r="H120" i="3"/>
  <c r="I120" i="3" s="1"/>
  <c r="I119" i="3"/>
  <c r="H119" i="3"/>
  <c r="H118" i="3"/>
  <c r="I118" i="3" s="1"/>
  <c r="I117" i="3"/>
  <c r="H117" i="3"/>
  <c r="H116" i="3"/>
  <c r="I116" i="3" s="1"/>
  <c r="I115" i="3"/>
  <c r="H115" i="3"/>
  <c r="H114" i="3"/>
  <c r="I114" i="3" s="1"/>
  <c r="I113" i="3"/>
  <c r="H113" i="3"/>
  <c r="H112" i="3"/>
  <c r="I112" i="3" s="1"/>
  <c r="I111" i="3"/>
  <c r="H111" i="3"/>
  <c r="H110" i="3"/>
  <c r="I110" i="3" s="1"/>
  <c r="I109" i="3"/>
  <c r="H109" i="3"/>
  <c r="H108" i="3"/>
  <c r="I108" i="3" s="1"/>
  <c r="I107" i="3"/>
  <c r="H107" i="3"/>
  <c r="H106" i="3"/>
  <c r="I106" i="3" s="1"/>
  <c r="I105" i="3"/>
  <c r="H105" i="3"/>
  <c r="H104" i="3"/>
  <c r="I104" i="3" s="1"/>
  <c r="I103" i="3"/>
  <c r="H103" i="3"/>
  <c r="H102" i="3"/>
  <c r="I102" i="3" s="1"/>
  <c r="I101" i="3"/>
  <c r="H101" i="3"/>
  <c r="H100" i="3"/>
  <c r="I100" i="3" s="1"/>
  <c r="I99" i="3"/>
  <c r="H99" i="3"/>
  <c r="H98" i="3"/>
  <c r="I98" i="3" s="1"/>
  <c r="I97" i="3"/>
  <c r="H97" i="3"/>
  <c r="H96" i="3"/>
  <c r="I96" i="3" s="1"/>
  <c r="I95" i="3"/>
  <c r="H95" i="3"/>
  <c r="H94" i="3"/>
  <c r="I94" i="3" s="1"/>
  <c r="I93" i="3"/>
  <c r="H93" i="3"/>
  <c r="H92" i="3"/>
  <c r="I92" i="3" s="1"/>
  <c r="I91" i="3"/>
  <c r="H91" i="3"/>
  <c r="H90" i="3"/>
  <c r="I90" i="3" s="1"/>
  <c r="I89" i="3"/>
  <c r="H89" i="3"/>
  <c r="H88" i="3"/>
  <c r="I88" i="3" s="1"/>
  <c r="I87" i="3"/>
  <c r="H87" i="3"/>
  <c r="H86" i="3"/>
  <c r="I86" i="3" s="1"/>
  <c r="I85" i="3"/>
  <c r="H85" i="3"/>
  <c r="H84" i="3"/>
  <c r="I84" i="3" s="1"/>
  <c r="I83" i="3"/>
  <c r="H83" i="3"/>
  <c r="H82" i="3"/>
  <c r="I82" i="3" s="1"/>
  <c r="I81" i="3"/>
  <c r="H81" i="3"/>
  <c r="H80" i="3"/>
  <c r="I80" i="3" s="1"/>
  <c r="I79" i="3"/>
  <c r="H79" i="3"/>
  <c r="H78" i="3"/>
  <c r="I78" i="3" s="1"/>
  <c r="I77" i="3"/>
  <c r="H77" i="3"/>
  <c r="H76" i="3"/>
  <c r="I76" i="3" s="1"/>
  <c r="I75" i="3"/>
  <c r="H75" i="3"/>
  <c r="H74" i="3"/>
  <c r="I74" i="3" s="1"/>
  <c r="I73" i="3"/>
  <c r="H73" i="3"/>
  <c r="H72" i="3"/>
  <c r="I72" i="3" s="1"/>
  <c r="I71" i="3"/>
  <c r="H71" i="3"/>
  <c r="H70" i="3"/>
  <c r="I70" i="3" s="1"/>
  <c r="I69" i="3"/>
  <c r="H69" i="3"/>
  <c r="H68" i="3"/>
  <c r="I68" i="3" s="1"/>
  <c r="I67" i="3"/>
  <c r="H67" i="3"/>
  <c r="H66" i="3"/>
  <c r="I66" i="3" s="1"/>
  <c r="I65" i="3"/>
  <c r="H65" i="3"/>
  <c r="H64" i="3"/>
  <c r="I64" i="3" s="1"/>
  <c r="I63" i="3"/>
  <c r="H63" i="3"/>
  <c r="H62" i="3"/>
  <c r="I62" i="3" s="1"/>
  <c r="I61" i="3"/>
  <c r="H61" i="3"/>
  <c r="H60" i="3"/>
  <c r="I60" i="3" s="1"/>
  <c r="I59" i="3"/>
  <c r="H59" i="3"/>
  <c r="H58" i="3"/>
  <c r="I58" i="3" s="1"/>
  <c r="I57" i="3"/>
  <c r="H57" i="3"/>
  <c r="H56" i="3"/>
  <c r="I56" i="3" s="1"/>
  <c r="I55" i="3"/>
  <c r="H55" i="3"/>
  <c r="H54" i="3"/>
  <c r="I54" i="3" s="1"/>
  <c r="I53" i="3"/>
  <c r="H53" i="3"/>
  <c r="H52" i="3"/>
  <c r="I52" i="3" s="1"/>
  <c r="I51" i="3"/>
  <c r="H51" i="3"/>
  <c r="H50" i="3"/>
  <c r="I50" i="3" s="1"/>
  <c r="I49" i="3"/>
  <c r="H49" i="3"/>
  <c r="H48" i="3"/>
  <c r="I48" i="3" s="1"/>
  <c r="I47" i="3"/>
  <c r="H47" i="3"/>
  <c r="H46" i="3"/>
  <c r="I46" i="3" s="1"/>
  <c r="I45" i="3"/>
  <c r="H45" i="3"/>
  <c r="H44" i="3"/>
  <c r="I44" i="3" s="1"/>
  <c r="I43" i="3"/>
  <c r="H43" i="3"/>
  <c r="H42" i="3"/>
  <c r="I42" i="3" s="1"/>
  <c r="I41" i="3"/>
  <c r="H41" i="3"/>
  <c r="H40" i="3"/>
  <c r="I40" i="3" s="1"/>
  <c r="I39" i="3"/>
  <c r="H39" i="3"/>
  <c r="H38" i="3"/>
  <c r="I38" i="3" s="1"/>
  <c r="I37" i="3"/>
  <c r="H37" i="3"/>
  <c r="H36" i="3"/>
  <c r="I36" i="3" s="1"/>
  <c r="I35" i="3"/>
  <c r="H35" i="3"/>
  <c r="H34" i="3"/>
  <c r="I34" i="3" s="1"/>
  <c r="I33" i="3"/>
  <c r="H33" i="3"/>
  <c r="H32" i="3"/>
  <c r="I32" i="3" s="1"/>
  <c r="I31" i="3"/>
  <c r="H31" i="3"/>
  <c r="H30" i="3"/>
  <c r="I30" i="3" s="1"/>
  <c r="I29" i="3"/>
  <c r="H29" i="3"/>
  <c r="H28" i="3"/>
  <c r="I28" i="3" s="1"/>
  <c r="I27" i="3"/>
  <c r="H27" i="3"/>
  <c r="H26" i="3"/>
  <c r="I26" i="3" s="1"/>
  <c r="I25" i="3"/>
  <c r="H25" i="3"/>
  <c r="H24" i="3"/>
  <c r="I24" i="3" s="1"/>
  <c r="I23" i="3"/>
  <c r="H23" i="3"/>
  <c r="H22" i="3"/>
  <c r="I22" i="3" s="1"/>
  <c r="I21" i="3"/>
  <c r="H21" i="3"/>
  <c r="H20" i="3"/>
  <c r="I20" i="3" s="1"/>
  <c r="I19" i="3"/>
  <c r="H19" i="3"/>
  <c r="H18" i="3"/>
  <c r="I18" i="3" s="1"/>
  <c r="I17" i="3"/>
  <c r="H17" i="3"/>
  <c r="H16" i="3"/>
  <c r="I16" i="3" s="1"/>
  <c r="I15" i="3"/>
  <c r="H15" i="3"/>
  <c r="H14" i="3"/>
  <c r="I14" i="3" s="1"/>
  <c r="I13" i="3"/>
  <c r="H13" i="3"/>
  <c r="H12" i="3"/>
  <c r="I12" i="3" s="1"/>
  <c r="H8" i="3"/>
  <c r="H7" i="3"/>
  <c r="E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D23" i="1"/>
  <c r="D17" i="1"/>
  <c r="C17" i="1"/>
  <c r="D16" i="1"/>
  <c r="D15" i="1"/>
  <c r="A9" i="1"/>
  <c r="J7" i="4" l="1"/>
  <c r="E15" i="1"/>
  <c r="G32" i="4"/>
  <c r="E24" i="1" s="1"/>
  <c r="J11" i="4"/>
  <c r="J12" i="4" s="1"/>
  <c r="J13" i="4" s="1"/>
  <c r="J14" i="4" s="1"/>
  <c r="I23" i="4"/>
  <c r="F500" i="2"/>
  <c r="I14" i="4"/>
  <c r="I21" i="4"/>
  <c r="H500" i="3"/>
  <c r="E9" i="1" s="1"/>
  <c r="E16" i="1" s="1"/>
  <c r="I12" i="4"/>
  <c r="J40" i="4"/>
  <c r="J41" i="4" s="1"/>
  <c r="I40" i="4"/>
  <c r="J21" i="4"/>
  <c r="J22" i="4" s="1"/>
  <c r="J23" i="4" s="1"/>
  <c r="J31" i="4" s="1"/>
  <c r="I22" i="4"/>
  <c r="G15" i="4"/>
  <c r="G42" i="4"/>
  <c r="F15" i="1" l="1"/>
  <c r="G15" i="1"/>
  <c r="E17" i="1"/>
  <c r="G17" i="1" s="1"/>
  <c r="H32" i="4"/>
  <c r="F24" i="1" s="1"/>
  <c r="H24" i="1" s="1"/>
  <c r="I500" i="3"/>
  <c r="H42" i="4"/>
  <c r="G16" i="1"/>
  <c r="F16" i="1"/>
  <c r="H16" i="1" s="1"/>
  <c r="H15" i="1"/>
  <c r="I9" i="1"/>
  <c r="H17" i="1" s="1"/>
  <c r="E23" i="1"/>
  <c r="H15" i="4"/>
  <c r="F17" i="1" l="1"/>
  <c r="J32" i="4"/>
  <c r="J15" i="4"/>
  <c r="G23" i="1"/>
  <c r="F23" i="1"/>
  <c r="H23" i="1" s="1"/>
  <c r="J42" i="4"/>
</calcChain>
</file>

<file path=xl/sharedStrings.xml><?xml version="1.0" encoding="utf-8"?>
<sst xmlns="http://schemas.openxmlformats.org/spreadsheetml/2006/main" count="1132" uniqueCount="1092">
  <si>
    <t>CHINA SHIPMENT - FULLY AUTOMATED SETTLEMENT &amp; CASH FLOW ENGINE</t>
  </si>
  <si>
    <t>Shipment Invoice No:</t>
  </si>
  <si>
    <t>2025(SLLK)823</t>
  </si>
  <si>
    <t>Total Shipment Units:</t>
  </si>
  <si>
    <t>Base Budget USD Rate:</t>
  </si>
  <si>
    <t>Total China FOB Value ($):</t>
  </si>
  <si>
    <t>Customs, Tax &amp; Clearing (LKR):</t>
  </si>
  <si>
    <t>TOTAL CHINA LIABILITY (LKR):</t>
  </si>
  <si>
    <t>Operational Role / Settlement Responsibility</t>
  </si>
  <si>
    <t>Agreed Ratio</t>
  </si>
  <si>
    <t>Actual Paid / Handed Over (LKR)</t>
  </si>
  <si>
    <t>Progress %</t>
  </si>
  <si>
    <t>100.0% China Liability Settlement</t>
  </si>
  <si>
    <t>Friend / Intermediary Name</t>
  </si>
  <si>
    <t>Country / Route</t>
  </si>
  <si>
    <t>Operating Currency</t>
  </si>
  <si>
    <t>Total Cash Given by Us (LKR)</t>
  </si>
  <si>
    <t>Total Settled to China (LKR Equiv)</t>
  </si>
  <si>
    <t>Current Settlement Status</t>
  </si>
  <si>
    <t>Action / Instructions</t>
  </si>
  <si>
    <t>Direct Bank TT (Sri Lanka)</t>
  </si>
  <si>
    <t>Commercial / BOC / Sampath</t>
  </si>
  <si>
    <t>USD Wire</t>
  </si>
  <si>
    <t>Settled Directly via TT</t>
  </si>
  <si>
    <t>Direct Supplier Wire Completed</t>
  </si>
  <si>
    <t>Receipt ID</t>
  </si>
  <si>
    <t>Date Received</t>
  </si>
  <si>
    <t>Payment Method (Cheque / Bank Transfer / Cash)</t>
  </si>
  <si>
    <t>Reference / Cheque No / Account Details</t>
  </si>
  <si>
    <t>Remarks / Special Notes</t>
  </si>
  <si>
    <t>GLB-001</t>
  </si>
  <si>
    <t>2026-09-05</t>
  </si>
  <si>
    <t>GLB-002</t>
  </si>
  <si>
    <t>GLB-003</t>
  </si>
  <si>
    <t>GLB-004</t>
  </si>
  <si>
    <t>GLB-005</t>
  </si>
  <si>
    <t>GLB-006</t>
  </si>
  <si>
    <t>GLB-007</t>
  </si>
  <si>
    <t>GLB-008</t>
  </si>
  <si>
    <t>GLB-009</t>
  </si>
  <si>
    <t>GLB-010</t>
  </si>
  <si>
    <t>GLB-011</t>
  </si>
  <si>
    <t>GLB-012</t>
  </si>
  <si>
    <t>GLB-013</t>
  </si>
  <si>
    <t>GLB-014</t>
  </si>
  <si>
    <t>GLB-015</t>
  </si>
  <si>
    <t>GLB-016</t>
  </si>
  <si>
    <t>GLB-017</t>
  </si>
  <si>
    <t>GLB-018</t>
  </si>
  <si>
    <t>GLB-019</t>
  </si>
  <si>
    <t>GLB-020</t>
  </si>
  <si>
    <t>GLB-021</t>
  </si>
  <si>
    <t>GLB-022</t>
  </si>
  <si>
    <t>GLB-023</t>
  </si>
  <si>
    <t>GLB-024</t>
  </si>
  <si>
    <t>GLB-025</t>
  </si>
  <si>
    <t>GLB-026</t>
  </si>
  <si>
    <t>GLB-027</t>
  </si>
  <si>
    <t>GLB-028</t>
  </si>
  <si>
    <t>GLB-029</t>
  </si>
  <si>
    <t>GLB-030</t>
  </si>
  <si>
    <t>GLB-031</t>
  </si>
  <si>
    <t>GLB-032</t>
  </si>
  <si>
    <t>GLB-033</t>
  </si>
  <si>
    <t>GLB-034</t>
  </si>
  <si>
    <t>GLB-035</t>
  </si>
  <si>
    <t>GLB-036</t>
  </si>
  <si>
    <t>GLB-037</t>
  </si>
  <si>
    <t>GLB-038</t>
  </si>
  <si>
    <t>GLB-039</t>
  </si>
  <si>
    <t>GLB-040</t>
  </si>
  <si>
    <t>GLB-041</t>
  </si>
  <si>
    <t>GLB-042</t>
  </si>
  <si>
    <t>GLB-043</t>
  </si>
  <si>
    <t>GLB-044</t>
  </si>
  <si>
    <t>GLB-045</t>
  </si>
  <si>
    <t>GLB-046</t>
  </si>
  <si>
    <t>GLB-047</t>
  </si>
  <si>
    <t>GLB-048</t>
  </si>
  <si>
    <t>GLB-049</t>
  </si>
  <si>
    <t>GLB-050</t>
  </si>
  <si>
    <t>GLB-051</t>
  </si>
  <si>
    <t>GLB-052</t>
  </si>
  <si>
    <t>GLB-053</t>
  </si>
  <si>
    <t>GLB-054</t>
  </si>
  <si>
    <t>GLB-055</t>
  </si>
  <si>
    <t>GLB-056</t>
  </si>
  <si>
    <t>GLB-057</t>
  </si>
  <si>
    <t>GLB-058</t>
  </si>
  <si>
    <t>GLB-059</t>
  </si>
  <si>
    <t>GLB-060</t>
  </si>
  <si>
    <t>GLB-061</t>
  </si>
  <si>
    <t>GLB-062</t>
  </si>
  <si>
    <t>GLB-063</t>
  </si>
  <si>
    <t>GLB-064</t>
  </si>
  <si>
    <t>GLB-065</t>
  </si>
  <si>
    <t>GLB-066</t>
  </si>
  <si>
    <t>GLB-067</t>
  </si>
  <si>
    <t>GLB-068</t>
  </si>
  <si>
    <t>GLB-069</t>
  </si>
  <si>
    <t>GLB-070</t>
  </si>
  <si>
    <t>GLB-071</t>
  </si>
  <si>
    <t>GLB-072</t>
  </si>
  <si>
    <t>GLB-073</t>
  </si>
  <si>
    <t>GLB-074</t>
  </si>
  <si>
    <t>GLB-075</t>
  </si>
  <si>
    <t>GLB-076</t>
  </si>
  <si>
    <t>GLB-077</t>
  </si>
  <si>
    <t>GLB-078</t>
  </si>
  <si>
    <t>GLB-079</t>
  </si>
  <si>
    <t>GLB-080</t>
  </si>
  <si>
    <t>GLB-081</t>
  </si>
  <si>
    <t>GLB-082</t>
  </si>
  <si>
    <t>GLB-083</t>
  </si>
  <si>
    <t>GLB-084</t>
  </si>
  <si>
    <t>GLB-085</t>
  </si>
  <si>
    <t>GLB-086</t>
  </si>
  <si>
    <t>GLB-087</t>
  </si>
  <si>
    <t>GLB-088</t>
  </si>
  <si>
    <t>GLB-089</t>
  </si>
  <si>
    <t>GLB-090</t>
  </si>
  <si>
    <t>GLB-091</t>
  </si>
  <si>
    <t>GLB-092</t>
  </si>
  <si>
    <t>GLB-093</t>
  </si>
  <si>
    <t>GLB-094</t>
  </si>
  <si>
    <t>GLB-095</t>
  </si>
  <si>
    <t>GLB-096</t>
  </si>
  <si>
    <t>GLB-097</t>
  </si>
  <si>
    <t>GLB-098</t>
  </si>
  <si>
    <t>GLB-099</t>
  </si>
  <si>
    <t>GLB-100</t>
  </si>
  <si>
    <t>GLB-101</t>
  </si>
  <si>
    <t>GLB-102</t>
  </si>
  <si>
    <t>GLB-103</t>
  </si>
  <si>
    <t>GLB-104</t>
  </si>
  <si>
    <t>GLB-105</t>
  </si>
  <si>
    <t>GLB-106</t>
  </si>
  <si>
    <t>GLB-107</t>
  </si>
  <si>
    <t>GLB-108</t>
  </si>
  <si>
    <t>GLB-109</t>
  </si>
  <si>
    <t>GLB-110</t>
  </si>
  <si>
    <t>GLB-111</t>
  </si>
  <si>
    <t>GLB-112</t>
  </si>
  <si>
    <t>GLB-113</t>
  </si>
  <si>
    <t>GLB-114</t>
  </si>
  <si>
    <t>GLB-115</t>
  </si>
  <si>
    <t>GLB-116</t>
  </si>
  <si>
    <t>GLB-117</t>
  </si>
  <si>
    <t>GLB-118</t>
  </si>
  <si>
    <t>GLB-119</t>
  </si>
  <si>
    <t>GLB-120</t>
  </si>
  <si>
    <t>GLB-121</t>
  </si>
  <si>
    <t>GLB-122</t>
  </si>
  <si>
    <t>GLB-123</t>
  </si>
  <si>
    <t>GLB-124</t>
  </si>
  <si>
    <t>GLB-125</t>
  </si>
  <si>
    <t>GLB-126</t>
  </si>
  <si>
    <t>GLB-127</t>
  </si>
  <si>
    <t>GLB-128</t>
  </si>
  <si>
    <t>GLB-129</t>
  </si>
  <si>
    <t>GLB-130</t>
  </si>
  <si>
    <t>GLB-131</t>
  </si>
  <si>
    <t>GLB-132</t>
  </si>
  <si>
    <t>GLB-133</t>
  </si>
  <si>
    <t>GLB-134</t>
  </si>
  <si>
    <t>GLB-135</t>
  </si>
  <si>
    <t>GLB-136</t>
  </si>
  <si>
    <t>GLB-137</t>
  </si>
  <si>
    <t>GLB-138</t>
  </si>
  <si>
    <t>GLB-139</t>
  </si>
  <si>
    <t>GLB-140</t>
  </si>
  <si>
    <t>GLB-141</t>
  </si>
  <si>
    <t>GLB-142</t>
  </si>
  <si>
    <t>GLB-143</t>
  </si>
  <si>
    <t>GLB-144</t>
  </si>
  <si>
    <t>GLB-145</t>
  </si>
  <si>
    <t>GLB-146</t>
  </si>
  <si>
    <t>GLB-147</t>
  </si>
  <si>
    <t>GLB-148</t>
  </si>
  <si>
    <t>GLB-149</t>
  </si>
  <si>
    <t>GLB-150</t>
  </si>
  <si>
    <t>GLB-151</t>
  </si>
  <si>
    <t>GLB-152</t>
  </si>
  <si>
    <t>GLB-153</t>
  </si>
  <si>
    <t>GLB-154</t>
  </si>
  <si>
    <t>GLB-155</t>
  </si>
  <si>
    <t>GLB-156</t>
  </si>
  <si>
    <t>GLB-157</t>
  </si>
  <si>
    <t>GLB-158</t>
  </si>
  <si>
    <t>GLB-159</t>
  </si>
  <si>
    <t>GLB-160</t>
  </si>
  <si>
    <t>GLB-161</t>
  </si>
  <si>
    <t>GLB-162</t>
  </si>
  <si>
    <t>GLB-163</t>
  </si>
  <si>
    <t>GLB-164</t>
  </si>
  <si>
    <t>GLB-165</t>
  </si>
  <si>
    <t>GLB-166</t>
  </si>
  <si>
    <t>GLB-167</t>
  </si>
  <si>
    <t>GLB-168</t>
  </si>
  <si>
    <t>GLB-169</t>
  </si>
  <si>
    <t>GLB-170</t>
  </si>
  <si>
    <t>GLB-171</t>
  </si>
  <si>
    <t>GLB-172</t>
  </si>
  <si>
    <t>GLB-173</t>
  </si>
  <si>
    <t>GLB-174</t>
  </si>
  <si>
    <t>GLB-175</t>
  </si>
  <si>
    <t>GLB-176</t>
  </si>
  <si>
    <t>GLB-177</t>
  </si>
  <si>
    <t>GLB-178</t>
  </si>
  <si>
    <t>GLB-179</t>
  </si>
  <si>
    <t>GLB-180</t>
  </si>
  <si>
    <t>GLB-181</t>
  </si>
  <si>
    <t>GLB-182</t>
  </si>
  <si>
    <t>GLB-183</t>
  </si>
  <si>
    <t>GLB-184</t>
  </si>
  <si>
    <t>GLB-185</t>
  </si>
  <si>
    <t>GLB-186</t>
  </si>
  <si>
    <t>GLB-187</t>
  </si>
  <si>
    <t>GLB-188</t>
  </si>
  <si>
    <t>GLB-189</t>
  </si>
  <si>
    <t>GLB-190</t>
  </si>
  <si>
    <t>GLB-191</t>
  </si>
  <si>
    <t>GLB-192</t>
  </si>
  <si>
    <t>GLB-193</t>
  </si>
  <si>
    <t>GLB-194</t>
  </si>
  <si>
    <t>GLB-195</t>
  </si>
  <si>
    <t>GLB-196</t>
  </si>
  <si>
    <t>GLB-197</t>
  </si>
  <si>
    <t>GLB-198</t>
  </si>
  <si>
    <t>GLB-199</t>
  </si>
  <si>
    <t>GLB-200</t>
  </si>
  <si>
    <t>GLB-201</t>
  </si>
  <si>
    <t>GLB-202</t>
  </si>
  <si>
    <t>GLB-203</t>
  </si>
  <si>
    <t>GLB-204</t>
  </si>
  <si>
    <t>GLB-205</t>
  </si>
  <si>
    <t>GLB-206</t>
  </si>
  <si>
    <t>GLB-207</t>
  </si>
  <si>
    <t>GLB-208</t>
  </si>
  <si>
    <t>GLB-209</t>
  </si>
  <si>
    <t>GLB-210</t>
  </si>
  <si>
    <t>GLB-211</t>
  </si>
  <si>
    <t>GLB-212</t>
  </si>
  <si>
    <t>GLB-213</t>
  </si>
  <si>
    <t>GLB-214</t>
  </si>
  <si>
    <t>GLB-215</t>
  </si>
  <si>
    <t>GLB-216</t>
  </si>
  <si>
    <t>GLB-217</t>
  </si>
  <si>
    <t>GLB-218</t>
  </si>
  <si>
    <t>GLB-219</t>
  </si>
  <si>
    <t>GLB-220</t>
  </si>
  <si>
    <t>GLB-221</t>
  </si>
  <si>
    <t>GLB-222</t>
  </si>
  <si>
    <t>GLB-223</t>
  </si>
  <si>
    <t>GLB-224</t>
  </si>
  <si>
    <t>GLB-225</t>
  </si>
  <si>
    <t>GLB-226</t>
  </si>
  <si>
    <t>GLB-227</t>
  </si>
  <si>
    <t>GLB-228</t>
  </si>
  <si>
    <t>GLB-229</t>
  </si>
  <si>
    <t>GLB-230</t>
  </si>
  <si>
    <t>GLB-231</t>
  </si>
  <si>
    <t>GLB-232</t>
  </si>
  <si>
    <t>GLB-233</t>
  </si>
  <si>
    <t>GLB-234</t>
  </si>
  <si>
    <t>GLB-235</t>
  </si>
  <si>
    <t>GLB-236</t>
  </si>
  <si>
    <t>GLB-237</t>
  </si>
  <si>
    <t>GLB-238</t>
  </si>
  <si>
    <t>GLB-239</t>
  </si>
  <si>
    <t>GLB-240</t>
  </si>
  <si>
    <t>GLB-241</t>
  </si>
  <si>
    <t>GLB-242</t>
  </si>
  <si>
    <t>GLB-243</t>
  </si>
  <si>
    <t>GLB-244</t>
  </si>
  <si>
    <t>GLB-245</t>
  </si>
  <si>
    <t>GLB-246</t>
  </si>
  <si>
    <t>GLB-247</t>
  </si>
  <si>
    <t>GLB-248</t>
  </si>
  <si>
    <t>GLB-249</t>
  </si>
  <si>
    <t>GLB-250</t>
  </si>
  <si>
    <t>GLB-251</t>
  </si>
  <si>
    <t>GLB-252</t>
  </si>
  <si>
    <t>GLB-253</t>
  </si>
  <si>
    <t>GLB-254</t>
  </si>
  <si>
    <t>GLB-255</t>
  </si>
  <si>
    <t>GLB-256</t>
  </si>
  <si>
    <t>GLB-257</t>
  </si>
  <si>
    <t>GLB-258</t>
  </si>
  <si>
    <t>GLB-259</t>
  </si>
  <si>
    <t>GLB-260</t>
  </si>
  <si>
    <t>GLB-261</t>
  </si>
  <si>
    <t>GLB-262</t>
  </si>
  <si>
    <t>GLB-263</t>
  </si>
  <si>
    <t>GLB-264</t>
  </si>
  <si>
    <t>GLB-265</t>
  </si>
  <si>
    <t>GLB-266</t>
  </si>
  <si>
    <t>GLB-267</t>
  </si>
  <si>
    <t>GLB-268</t>
  </si>
  <si>
    <t>GLB-269</t>
  </si>
  <si>
    <t>GLB-270</t>
  </si>
  <si>
    <t>GLB-271</t>
  </si>
  <si>
    <t>GLB-272</t>
  </si>
  <si>
    <t>GLB-273</t>
  </si>
  <si>
    <t>GLB-274</t>
  </si>
  <si>
    <t>GLB-275</t>
  </si>
  <si>
    <t>GLB-276</t>
  </si>
  <si>
    <t>GLB-277</t>
  </si>
  <si>
    <t>GLB-278</t>
  </si>
  <si>
    <t>GLB-279</t>
  </si>
  <si>
    <t>GLB-280</t>
  </si>
  <si>
    <t>GLB-281</t>
  </si>
  <si>
    <t>GLB-282</t>
  </si>
  <si>
    <t>GLB-283</t>
  </si>
  <si>
    <t>GLB-284</t>
  </si>
  <si>
    <t>GLB-285</t>
  </si>
  <si>
    <t>GLB-286</t>
  </si>
  <si>
    <t>GLB-287</t>
  </si>
  <si>
    <t>GLB-288</t>
  </si>
  <si>
    <t>GLB-289</t>
  </si>
  <si>
    <t>GLB-290</t>
  </si>
  <si>
    <t>GLB-291</t>
  </si>
  <si>
    <t>GLB-292</t>
  </si>
  <si>
    <t>GLB-293</t>
  </si>
  <si>
    <t>GLB-294</t>
  </si>
  <si>
    <t>GLB-295</t>
  </si>
  <si>
    <t>GLB-296</t>
  </si>
  <si>
    <t>GLB-297</t>
  </si>
  <si>
    <t>GLB-298</t>
  </si>
  <si>
    <t>GLB-299</t>
  </si>
  <si>
    <t>GLB-300</t>
  </si>
  <si>
    <t>GLB-301</t>
  </si>
  <si>
    <t>GLB-302</t>
  </si>
  <si>
    <t>GLB-303</t>
  </si>
  <si>
    <t>GLB-304</t>
  </si>
  <si>
    <t>GLB-305</t>
  </si>
  <si>
    <t>GLB-306</t>
  </si>
  <si>
    <t>GLB-307</t>
  </si>
  <si>
    <t>GLB-308</t>
  </si>
  <si>
    <t>GLB-309</t>
  </si>
  <si>
    <t>GLB-310</t>
  </si>
  <si>
    <t>GLB-311</t>
  </si>
  <si>
    <t>GLB-312</t>
  </si>
  <si>
    <t>GLB-313</t>
  </si>
  <si>
    <t>GLB-314</t>
  </si>
  <si>
    <t>GLB-315</t>
  </si>
  <si>
    <t>GLB-316</t>
  </si>
  <si>
    <t>GLB-317</t>
  </si>
  <si>
    <t>GLB-318</t>
  </si>
  <si>
    <t>GLB-319</t>
  </si>
  <si>
    <t>GLB-320</t>
  </si>
  <si>
    <t>GLB-321</t>
  </si>
  <si>
    <t>GLB-322</t>
  </si>
  <si>
    <t>GLB-323</t>
  </si>
  <si>
    <t>GLB-324</t>
  </si>
  <si>
    <t>GLB-325</t>
  </si>
  <si>
    <t>GLB-326</t>
  </si>
  <si>
    <t>GLB-327</t>
  </si>
  <si>
    <t>GLB-328</t>
  </si>
  <si>
    <t>GLB-329</t>
  </si>
  <si>
    <t>GLB-330</t>
  </si>
  <si>
    <t>GLB-331</t>
  </si>
  <si>
    <t>GLB-332</t>
  </si>
  <si>
    <t>GLB-333</t>
  </si>
  <si>
    <t>GLB-334</t>
  </si>
  <si>
    <t>GLB-335</t>
  </si>
  <si>
    <t>GLB-336</t>
  </si>
  <si>
    <t>GLB-337</t>
  </si>
  <si>
    <t>GLB-338</t>
  </si>
  <si>
    <t>GLB-339</t>
  </si>
  <si>
    <t>GLB-340</t>
  </si>
  <si>
    <t>GLB-341</t>
  </si>
  <si>
    <t>GLB-342</t>
  </si>
  <si>
    <t>GLB-343</t>
  </si>
  <si>
    <t>GLB-344</t>
  </si>
  <si>
    <t>GLB-345</t>
  </si>
  <si>
    <t>GLB-346</t>
  </si>
  <si>
    <t>GLB-347</t>
  </si>
  <si>
    <t>GLB-348</t>
  </si>
  <si>
    <t>GLB-349</t>
  </si>
  <si>
    <t>GLB-350</t>
  </si>
  <si>
    <t>GLB-351</t>
  </si>
  <si>
    <t>GLB-352</t>
  </si>
  <si>
    <t>GLB-353</t>
  </si>
  <si>
    <t>GLB-354</t>
  </si>
  <si>
    <t>GLB-355</t>
  </si>
  <si>
    <t>GLB-356</t>
  </si>
  <si>
    <t>GLB-357</t>
  </si>
  <si>
    <t>GLB-358</t>
  </si>
  <si>
    <t>GLB-359</t>
  </si>
  <si>
    <t>GLB-360</t>
  </si>
  <si>
    <t>GLB-361</t>
  </si>
  <si>
    <t>GLB-362</t>
  </si>
  <si>
    <t>GLB-363</t>
  </si>
  <si>
    <t>GLB-364</t>
  </si>
  <si>
    <t>GLB-365</t>
  </si>
  <si>
    <t>GLB-366</t>
  </si>
  <si>
    <t>GLB-367</t>
  </si>
  <si>
    <t>GLB-368</t>
  </si>
  <si>
    <t>GLB-369</t>
  </si>
  <si>
    <t>GLB-370</t>
  </si>
  <si>
    <t>GLB-371</t>
  </si>
  <si>
    <t>GLB-372</t>
  </si>
  <si>
    <t>GLB-373</t>
  </si>
  <si>
    <t>GLB-374</t>
  </si>
  <si>
    <t>GLB-375</t>
  </si>
  <si>
    <t>GLB-376</t>
  </si>
  <si>
    <t>GLB-377</t>
  </si>
  <si>
    <t>GLB-378</t>
  </si>
  <si>
    <t>GLB-379</t>
  </si>
  <si>
    <t>GLB-380</t>
  </si>
  <si>
    <t>GLB-381</t>
  </si>
  <si>
    <t>GLB-382</t>
  </si>
  <si>
    <t>GLB-383</t>
  </si>
  <si>
    <t>GLB-384</t>
  </si>
  <si>
    <t>GLB-385</t>
  </si>
  <si>
    <t>GLB-386</t>
  </si>
  <si>
    <t>GLB-387</t>
  </si>
  <si>
    <t>GLB-388</t>
  </si>
  <si>
    <t>GLB-389</t>
  </si>
  <si>
    <t>GLB-390</t>
  </si>
  <si>
    <t>GLB-391</t>
  </si>
  <si>
    <t>GLB-392</t>
  </si>
  <si>
    <t>GLB-393</t>
  </si>
  <si>
    <t>GLB-394</t>
  </si>
  <si>
    <t>GLB-395</t>
  </si>
  <si>
    <t>GLB-396</t>
  </si>
  <si>
    <t>GLB-397</t>
  </si>
  <si>
    <t>GLB-398</t>
  </si>
  <si>
    <t>GLB-399</t>
  </si>
  <si>
    <t>GLB-400</t>
  </si>
  <si>
    <t>GLB-401</t>
  </si>
  <si>
    <t>GLB-402</t>
  </si>
  <si>
    <t>GLB-403</t>
  </si>
  <si>
    <t>GLB-404</t>
  </si>
  <si>
    <t>GLB-405</t>
  </si>
  <si>
    <t>GLB-406</t>
  </si>
  <si>
    <t>GLB-407</t>
  </si>
  <si>
    <t>GLB-408</t>
  </si>
  <si>
    <t>GLB-409</t>
  </si>
  <si>
    <t>GLB-410</t>
  </si>
  <si>
    <t>GLB-411</t>
  </si>
  <si>
    <t>GLB-412</t>
  </si>
  <si>
    <t>GLB-413</t>
  </si>
  <si>
    <t>GLB-414</t>
  </si>
  <si>
    <t>GLB-415</t>
  </si>
  <si>
    <t>GLB-416</t>
  </si>
  <si>
    <t>GLB-417</t>
  </si>
  <si>
    <t>GLB-418</t>
  </si>
  <si>
    <t>GLB-419</t>
  </si>
  <si>
    <t>GLB-420</t>
  </si>
  <si>
    <t>GLB-421</t>
  </si>
  <si>
    <t>GLB-422</t>
  </si>
  <si>
    <t>GLB-423</t>
  </si>
  <si>
    <t>GLB-424</t>
  </si>
  <si>
    <t>GLB-425</t>
  </si>
  <si>
    <t>GLB-426</t>
  </si>
  <si>
    <t>GLB-427</t>
  </si>
  <si>
    <t>GLB-428</t>
  </si>
  <si>
    <t>GLB-429</t>
  </si>
  <si>
    <t>GLB-430</t>
  </si>
  <si>
    <t>GLB-431</t>
  </si>
  <si>
    <t>GLB-432</t>
  </si>
  <si>
    <t>GLB-433</t>
  </si>
  <si>
    <t>GLB-434</t>
  </si>
  <si>
    <t>GLB-435</t>
  </si>
  <si>
    <t>GLB-436</t>
  </si>
  <si>
    <t>GLB-437</t>
  </si>
  <si>
    <t>GLB-438</t>
  </si>
  <si>
    <t>GLB-439</t>
  </si>
  <si>
    <t>GLB-440</t>
  </si>
  <si>
    <t>GLB-441</t>
  </si>
  <si>
    <t>GLB-442</t>
  </si>
  <si>
    <t>GLB-443</t>
  </si>
  <si>
    <t>GLB-444</t>
  </si>
  <si>
    <t>GLB-445</t>
  </si>
  <si>
    <t>GLB-446</t>
  </si>
  <si>
    <t>GLB-447</t>
  </si>
  <si>
    <t>GLB-448</t>
  </si>
  <si>
    <t>GLB-449</t>
  </si>
  <si>
    <t>GLB-450</t>
  </si>
  <si>
    <t>GLB-451</t>
  </si>
  <si>
    <t>GLB-452</t>
  </si>
  <si>
    <t>GLB-453</t>
  </si>
  <si>
    <t>GLB-454</t>
  </si>
  <si>
    <t>GLB-455</t>
  </si>
  <si>
    <t>GLB-456</t>
  </si>
  <si>
    <t>GLB-457</t>
  </si>
  <si>
    <t>GLB-458</t>
  </si>
  <si>
    <t>GLB-459</t>
  </si>
  <si>
    <t>GLB-460</t>
  </si>
  <si>
    <t>GLB-461</t>
  </si>
  <si>
    <t>GLB-462</t>
  </si>
  <si>
    <t>GLB-463</t>
  </si>
  <si>
    <t>GLB-464</t>
  </si>
  <si>
    <t>GLB-465</t>
  </si>
  <si>
    <t>GLB-466</t>
  </si>
  <si>
    <t>GLB-467</t>
  </si>
  <si>
    <t>GLB-468</t>
  </si>
  <si>
    <t>GLB-469</t>
  </si>
  <si>
    <t>GLB-470</t>
  </si>
  <si>
    <t>GLB-471</t>
  </si>
  <si>
    <t>GLB-472</t>
  </si>
  <si>
    <t>GLB-473</t>
  </si>
  <si>
    <t>GLB-474</t>
  </si>
  <si>
    <t>GLB-475</t>
  </si>
  <si>
    <t>GLB-476</t>
  </si>
  <si>
    <t>GLB-477</t>
  </si>
  <si>
    <t>GLB-478</t>
  </si>
  <si>
    <t>GLB-479</t>
  </si>
  <si>
    <t>GLB-480</t>
  </si>
  <si>
    <t>GLB-481</t>
  </si>
  <si>
    <t>GLB-482</t>
  </si>
  <si>
    <t>GLB-483</t>
  </si>
  <si>
    <t>GLB-484</t>
  </si>
  <si>
    <t>GLB-485</t>
  </si>
  <si>
    <t>GLB-486</t>
  </si>
  <si>
    <t>GLB-487</t>
  </si>
  <si>
    <t>GLB-488</t>
  </si>
  <si>
    <t>GLB-489</t>
  </si>
  <si>
    <t>GLB-490</t>
  </si>
  <si>
    <t>GLB-491</t>
  </si>
  <si>
    <t>GLB-492</t>
  </si>
  <si>
    <t>GLB-493</t>
  </si>
  <si>
    <t>GLB-494</t>
  </si>
  <si>
    <t>GLB-495</t>
  </si>
  <si>
    <t>TOTAL INWARD FUNDS RECEIVED FROM GLOBAL APPAREL / GLOBAL වෙතින් ලැබුණු මුළු එකතුව</t>
  </si>
  <si>
    <t>Trx ID</t>
  </si>
  <si>
    <t>Payment Date</t>
  </si>
  <si>
    <t>Settlement Route / Channel</t>
  </si>
  <si>
    <t>Intermediary / Bank Partner</t>
  </si>
  <si>
    <t>Currency Sent (RMB / USD / AED)</t>
  </si>
  <si>
    <t>Foreign Amount Sent</t>
  </si>
  <si>
    <t>Source of Funds (Global / Api)</t>
  </si>
  <si>
    <t>Transaction Reference / Notes</t>
  </si>
  <si>
    <t>TRX-001</t>
  </si>
  <si>
    <t>RMB</t>
  </si>
  <si>
    <t>TRX-002</t>
  </si>
  <si>
    <t>TRX-003</t>
  </si>
  <si>
    <t>TRX-004</t>
  </si>
  <si>
    <t>TRX-005</t>
  </si>
  <si>
    <t>TRX-006</t>
  </si>
  <si>
    <t>TRX-007</t>
  </si>
  <si>
    <t>TRX-008</t>
  </si>
  <si>
    <t>TRX-009</t>
  </si>
  <si>
    <t>TRX-010</t>
  </si>
  <si>
    <t>TRX-011</t>
  </si>
  <si>
    <t>TRX-012</t>
  </si>
  <si>
    <t>TRX-013</t>
  </si>
  <si>
    <t>TRX-014</t>
  </si>
  <si>
    <t>TRX-015</t>
  </si>
  <si>
    <t>TRX-016</t>
  </si>
  <si>
    <t>TRX-017</t>
  </si>
  <si>
    <t>TRX-018</t>
  </si>
  <si>
    <t>TRX-019</t>
  </si>
  <si>
    <t>TRX-020</t>
  </si>
  <si>
    <t>TRX-021</t>
  </si>
  <si>
    <t>TRX-022</t>
  </si>
  <si>
    <t>TRX-023</t>
  </si>
  <si>
    <t>TRX-024</t>
  </si>
  <si>
    <t>TRX-025</t>
  </si>
  <si>
    <t>TRX-026</t>
  </si>
  <si>
    <t>TRX-027</t>
  </si>
  <si>
    <t>TRX-028</t>
  </si>
  <si>
    <t>TRX-029</t>
  </si>
  <si>
    <t>TRX-030</t>
  </si>
  <si>
    <t>TRX-031</t>
  </si>
  <si>
    <t>TRX-032</t>
  </si>
  <si>
    <t>TRX-033</t>
  </si>
  <si>
    <t>TRX-034</t>
  </si>
  <si>
    <t>TRX-035</t>
  </si>
  <si>
    <t>TRX-036</t>
  </si>
  <si>
    <t>TRX-037</t>
  </si>
  <si>
    <t>TRX-038</t>
  </si>
  <si>
    <t>TRX-039</t>
  </si>
  <si>
    <t>TRX-040</t>
  </si>
  <si>
    <t>TRX-041</t>
  </si>
  <si>
    <t>TRX-042</t>
  </si>
  <si>
    <t>TRX-043</t>
  </si>
  <si>
    <t>TRX-044</t>
  </si>
  <si>
    <t>TRX-045</t>
  </si>
  <si>
    <t>TRX-046</t>
  </si>
  <si>
    <t>TRX-047</t>
  </si>
  <si>
    <t>TRX-048</t>
  </si>
  <si>
    <t>TRX-049</t>
  </si>
  <si>
    <t>TRX-050</t>
  </si>
  <si>
    <t>TRX-051</t>
  </si>
  <si>
    <t>TRX-052</t>
  </si>
  <si>
    <t>TRX-053</t>
  </si>
  <si>
    <t>TRX-054</t>
  </si>
  <si>
    <t>TRX-055</t>
  </si>
  <si>
    <t>TRX-056</t>
  </si>
  <si>
    <t>TRX-057</t>
  </si>
  <si>
    <t>TRX-058</t>
  </si>
  <si>
    <t>TRX-059</t>
  </si>
  <si>
    <t>TRX-060</t>
  </si>
  <si>
    <t>TRX-061</t>
  </si>
  <si>
    <t>TRX-062</t>
  </si>
  <si>
    <t>TRX-063</t>
  </si>
  <si>
    <t>TRX-064</t>
  </si>
  <si>
    <t>TRX-065</t>
  </si>
  <si>
    <t>TRX-066</t>
  </si>
  <si>
    <t>TRX-067</t>
  </si>
  <si>
    <t>TRX-068</t>
  </si>
  <si>
    <t>TRX-069</t>
  </si>
  <si>
    <t>TRX-070</t>
  </si>
  <si>
    <t>TRX-071</t>
  </si>
  <si>
    <t>TRX-072</t>
  </si>
  <si>
    <t>TRX-073</t>
  </si>
  <si>
    <t>TRX-074</t>
  </si>
  <si>
    <t>TRX-075</t>
  </si>
  <si>
    <t>TRX-076</t>
  </si>
  <si>
    <t>TRX-077</t>
  </si>
  <si>
    <t>TRX-078</t>
  </si>
  <si>
    <t>TRX-079</t>
  </si>
  <si>
    <t>TRX-080</t>
  </si>
  <si>
    <t>TRX-081</t>
  </si>
  <si>
    <t>TRX-082</t>
  </si>
  <si>
    <t>TRX-083</t>
  </si>
  <si>
    <t>TRX-084</t>
  </si>
  <si>
    <t>TRX-085</t>
  </si>
  <si>
    <t>TRX-086</t>
  </si>
  <si>
    <t>TRX-087</t>
  </si>
  <si>
    <t>TRX-088</t>
  </si>
  <si>
    <t>TRX-089</t>
  </si>
  <si>
    <t>TRX-090</t>
  </si>
  <si>
    <t>TRX-091</t>
  </si>
  <si>
    <t>TRX-092</t>
  </si>
  <si>
    <t>TRX-093</t>
  </si>
  <si>
    <t>TRX-094</t>
  </si>
  <si>
    <t>TRX-095</t>
  </si>
  <si>
    <t>TRX-096</t>
  </si>
  <si>
    <t>TRX-097</t>
  </si>
  <si>
    <t>TRX-098</t>
  </si>
  <si>
    <t>TRX-099</t>
  </si>
  <si>
    <t>TRX-100</t>
  </si>
  <si>
    <t>TRX-101</t>
  </si>
  <si>
    <t>TRX-102</t>
  </si>
  <si>
    <t>TRX-103</t>
  </si>
  <si>
    <t>TRX-104</t>
  </si>
  <si>
    <t>TRX-105</t>
  </si>
  <si>
    <t>TRX-106</t>
  </si>
  <si>
    <t>TRX-107</t>
  </si>
  <si>
    <t>TRX-108</t>
  </si>
  <si>
    <t>TRX-109</t>
  </si>
  <si>
    <t>TRX-110</t>
  </si>
  <si>
    <t>TRX-111</t>
  </si>
  <si>
    <t>TRX-112</t>
  </si>
  <si>
    <t>TRX-113</t>
  </si>
  <si>
    <t>TRX-114</t>
  </si>
  <si>
    <t>TRX-115</t>
  </si>
  <si>
    <t>TRX-116</t>
  </si>
  <si>
    <t>TRX-117</t>
  </si>
  <si>
    <t>TRX-118</t>
  </si>
  <si>
    <t>TRX-119</t>
  </si>
  <si>
    <t>TRX-120</t>
  </si>
  <si>
    <t>TRX-121</t>
  </si>
  <si>
    <t>TRX-122</t>
  </si>
  <si>
    <t>TRX-123</t>
  </si>
  <si>
    <t>TRX-124</t>
  </si>
  <si>
    <t>TRX-125</t>
  </si>
  <si>
    <t>TRX-126</t>
  </si>
  <si>
    <t>TRX-127</t>
  </si>
  <si>
    <t>TRX-128</t>
  </si>
  <si>
    <t>TRX-129</t>
  </si>
  <si>
    <t>TRX-130</t>
  </si>
  <si>
    <t>TRX-131</t>
  </si>
  <si>
    <t>TRX-132</t>
  </si>
  <si>
    <t>TRX-133</t>
  </si>
  <si>
    <t>TRX-134</t>
  </si>
  <si>
    <t>TRX-135</t>
  </si>
  <si>
    <t>TRX-136</t>
  </si>
  <si>
    <t>TRX-137</t>
  </si>
  <si>
    <t>TRX-138</t>
  </si>
  <si>
    <t>TRX-139</t>
  </si>
  <si>
    <t>TRX-140</t>
  </si>
  <si>
    <t>TRX-141</t>
  </si>
  <si>
    <t>TRX-142</t>
  </si>
  <si>
    <t>TRX-143</t>
  </si>
  <si>
    <t>TRX-144</t>
  </si>
  <si>
    <t>TRX-145</t>
  </si>
  <si>
    <t>TRX-146</t>
  </si>
  <si>
    <t>TRX-147</t>
  </si>
  <si>
    <t>TRX-148</t>
  </si>
  <si>
    <t>TRX-149</t>
  </si>
  <si>
    <t>TRX-150</t>
  </si>
  <si>
    <t>TRX-151</t>
  </si>
  <si>
    <t>TRX-152</t>
  </si>
  <si>
    <t>TRX-153</t>
  </si>
  <si>
    <t>TRX-154</t>
  </si>
  <si>
    <t>TRX-155</t>
  </si>
  <si>
    <t>TRX-156</t>
  </si>
  <si>
    <t>TRX-157</t>
  </si>
  <si>
    <t>TRX-158</t>
  </si>
  <si>
    <t>TRX-159</t>
  </si>
  <si>
    <t>TRX-160</t>
  </si>
  <si>
    <t>TRX-161</t>
  </si>
  <si>
    <t>TRX-162</t>
  </si>
  <si>
    <t>TRX-163</t>
  </si>
  <si>
    <t>TRX-164</t>
  </si>
  <si>
    <t>TRX-165</t>
  </si>
  <si>
    <t>TRX-166</t>
  </si>
  <si>
    <t>TRX-167</t>
  </si>
  <si>
    <t>TRX-168</t>
  </si>
  <si>
    <t>TRX-169</t>
  </si>
  <si>
    <t>TRX-170</t>
  </si>
  <si>
    <t>TRX-171</t>
  </si>
  <si>
    <t>TRX-172</t>
  </si>
  <si>
    <t>TRX-173</t>
  </si>
  <si>
    <t>TRX-174</t>
  </si>
  <si>
    <t>TRX-175</t>
  </si>
  <si>
    <t>TRX-176</t>
  </si>
  <si>
    <t>TRX-177</t>
  </si>
  <si>
    <t>TRX-178</t>
  </si>
  <si>
    <t>TRX-179</t>
  </si>
  <si>
    <t>TRX-180</t>
  </si>
  <si>
    <t>TRX-181</t>
  </si>
  <si>
    <t>TRX-182</t>
  </si>
  <si>
    <t>TRX-183</t>
  </si>
  <si>
    <t>TRX-184</t>
  </si>
  <si>
    <t>TRX-185</t>
  </si>
  <si>
    <t>TRX-186</t>
  </si>
  <si>
    <t>TRX-187</t>
  </si>
  <si>
    <t>TRX-188</t>
  </si>
  <si>
    <t>TRX-189</t>
  </si>
  <si>
    <t>TRX-190</t>
  </si>
  <si>
    <t>TRX-191</t>
  </si>
  <si>
    <t>TRX-192</t>
  </si>
  <si>
    <t>TRX-193</t>
  </si>
  <si>
    <t>TRX-194</t>
  </si>
  <si>
    <t>TRX-195</t>
  </si>
  <si>
    <t>TRX-196</t>
  </si>
  <si>
    <t>TRX-197</t>
  </si>
  <si>
    <t>TRX-198</t>
  </si>
  <si>
    <t>TRX-199</t>
  </si>
  <si>
    <t>TRX-200</t>
  </si>
  <si>
    <t>TRX-201</t>
  </si>
  <si>
    <t>TRX-202</t>
  </si>
  <si>
    <t>TRX-203</t>
  </si>
  <si>
    <t>TRX-204</t>
  </si>
  <si>
    <t>TRX-205</t>
  </si>
  <si>
    <t>TRX-206</t>
  </si>
  <si>
    <t>TRX-207</t>
  </si>
  <si>
    <t>TRX-208</t>
  </si>
  <si>
    <t>TRX-209</t>
  </si>
  <si>
    <t>TRX-210</t>
  </si>
  <si>
    <t>TRX-211</t>
  </si>
  <si>
    <t>TRX-212</t>
  </si>
  <si>
    <t>TRX-213</t>
  </si>
  <si>
    <t>TRX-214</t>
  </si>
  <si>
    <t>TRX-215</t>
  </si>
  <si>
    <t>TRX-216</t>
  </si>
  <si>
    <t>TRX-217</t>
  </si>
  <si>
    <t>TRX-218</t>
  </si>
  <si>
    <t>TRX-219</t>
  </si>
  <si>
    <t>TRX-220</t>
  </si>
  <si>
    <t>TRX-221</t>
  </si>
  <si>
    <t>TRX-222</t>
  </si>
  <si>
    <t>TRX-223</t>
  </si>
  <si>
    <t>TRX-224</t>
  </si>
  <si>
    <t>TRX-225</t>
  </si>
  <si>
    <t>TRX-226</t>
  </si>
  <si>
    <t>TRX-227</t>
  </si>
  <si>
    <t>TRX-228</t>
  </si>
  <si>
    <t>TRX-229</t>
  </si>
  <si>
    <t>TRX-230</t>
  </si>
  <si>
    <t>TRX-231</t>
  </si>
  <si>
    <t>TRX-232</t>
  </si>
  <si>
    <t>TRX-233</t>
  </si>
  <si>
    <t>TRX-234</t>
  </si>
  <si>
    <t>TRX-235</t>
  </si>
  <si>
    <t>TRX-236</t>
  </si>
  <si>
    <t>TRX-237</t>
  </si>
  <si>
    <t>TRX-238</t>
  </si>
  <si>
    <t>TRX-239</t>
  </si>
  <si>
    <t>TRX-240</t>
  </si>
  <si>
    <t>TRX-241</t>
  </si>
  <si>
    <t>TRX-242</t>
  </si>
  <si>
    <t>TRX-243</t>
  </si>
  <si>
    <t>TRX-244</t>
  </si>
  <si>
    <t>TRX-245</t>
  </si>
  <si>
    <t>TRX-246</t>
  </si>
  <si>
    <t>TRX-247</t>
  </si>
  <si>
    <t>TRX-248</t>
  </si>
  <si>
    <t>TRX-249</t>
  </si>
  <si>
    <t>TRX-250</t>
  </si>
  <si>
    <t>TRX-251</t>
  </si>
  <si>
    <t>TRX-252</t>
  </si>
  <si>
    <t>TRX-253</t>
  </si>
  <si>
    <t>TRX-254</t>
  </si>
  <si>
    <t>TRX-255</t>
  </si>
  <si>
    <t>TRX-256</t>
  </si>
  <si>
    <t>TRX-257</t>
  </si>
  <si>
    <t>TRX-258</t>
  </si>
  <si>
    <t>TRX-259</t>
  </si>
  <si>
    <t>TRX-260</t>
  </si>
  <si>
    <t>TRX-261</t>
  </si>
  <si>
    <t>TRX-262</t>
  </si>
  <si>
    <t>TRX-263</t>
  </si>
  <si>
    <t>TRX-264</t>
  </si>
  <si>
    <t>TRX-265</t>
  </si>
  <si>
    <t>TRX-266</t>
  </si>
  <si>
    <t>TRX-267</t>
  </si>
  <si>
    <t>TRX-268</t>
  </si>
  <si>
    <t>TRX-269</t>
  </si>
  <si>
    <t>TRX-270</t>
  </si>
  <si>
    <t>TRX-271</t>
  </si>
  <si>
    <t>TRX-272</t>
  </si>
  <si>
    <t>TRX-273</t>
  </si>
  <si>
    <t>TRX-274</t>
  </si>
  <si>
    <t>TRX-275</t>
  </si>
  <si>
    <t>TRX-276</t>
  </si>
  <si>
    <t>TRX-277</t>
  </si>
  <si>
    <t>TRX-278</t>
  </si>
  <si>
    <t>TRX-279</t>
  </si>
  <si>
    <t>TRX-280</t>
  </si>
  <si>
    <t>TRX-281</t>
  </si>
  <si>
    <t>TRX-282</t>
  </si>
  <si>
    <t>TRX-283</t>
  </si>
  <si>
    <t>TRX-284</t>
  </si>
  <si>
    <t>TRX-285</t>
  </si>
  <si>
    <t>TRX-286</t>
  </si>
  <si>
    <t>TRX-287</t>
  </si>
  <si>
    <t>TRX-288</t>
  </si>
  <si>
    <t>TRX-289</t>
  </si>
  <si>
    <t>TRX-290</t>
  </si>
  <si>
    <t>TRX-291</t>
  </si>
  <si>
    <t>TRX-292</t>
  </si>
  <si>
    <t>TRX-293</t>
  </si>
  <si>
    <t>TRX-294</t>
  </si>
  <si>
    <t>TRX-295</t>
  </si>
  <si>
    <t>TRX-296</t>
  </si>
  <si>
    <t>TRX-297</t>
  </si>
  <si>
    <t>TRX-298</t>
  </si>
  <si>
    <t>TRX-299</t>
  </si>
  <si>
    <t>TRX-300</t>
  </si>
  <si>
    <t>TRX-301</t>
  </si>
  <si>
    <t>TRX-302</t>
  </si>
  <si>
    <t>TRX-303</t>
  </si>
  <si>
    <t>TRX-304</t>
  </si>
  <si>
    <t>TRX-305</t>
  </si>
  <si>
    <t>TRX-306</t>
  </si>
  <si>
    <t>TRX-307</t>
  </si>
  <si>
    <t>TRX-308</t>
  </si>
  <si>
    <t>TRX-309</t>
  </si>
  <si>
    <t>TRX-310</t>
  </si>
  <si>
    <t>TRX-311</t>
  </si>
  <si>
    <t>TRX-312</t>
  </si>
  <si>
    <t>TRX-313</t>
  </si>
  <si>
    <t>TRX-314</t>
  </si>
  <si>
    <t>TRX-315</t>
  </si>
  <si>
    <t>TRX-316</t>
  </si>
  <si>
    <t>TRX-317</t>
  </si>
  <si>
    <t>TRX-318</t>
  </si>
  <si>
    <t>TRX-319</t>
  </si>
  <si>
    <t>TRX-320</t>
  </si>
  <si>
    <t>TRX-321</t>
  </si>
  <si>
    <t>TRX-322</t>
  </si>
  <si>
    <t>TRX-323</t>
  </si>
  <si>
    <t>TRX-324</t>
  </si>
  <si>
    <t>TRX-325</t>
  </si>
  <si>
    <t>TRX-326</t>
  </si>
  <si>
    <t>TRX-327</t>
  </si>
  <si>
    <t>TRX-328</t>
  </si>
  <si>
    <t>TRX-329</t>
  </si>
  <si>
    <t>TRX-330</t>
  </si>
  <si>
    <t>TRX-331</t>
  </si>
  <si>
    <t>TRX-332</t>
  </si>
  <si>
    <t>TRX-333</t>
  </si>
  <si>
    <t>TRX-334</t>
  </si>
  <si>
    <t>TRX-335</t>
  </si>
  <si>
    <t>TRX-336</t>
  </si>
  <si>
    <t>TRX-337</t>
  </si>
  <si>
    <t>TRX-338</t>
  </si>
  <si>
    <t>TRX-339</t>
  </si>
  <si>
    <t>TRX-340</t>
  </si>
  <si>
    <t>TRX-341</t>
  </si>
  <si>
    <t>TRX-342</t>
  </si>
  <si>
    <t>TRX-343</t>
  </si>
  <si>
    <t>TRX-344</t>
  </si>
  <si>
    <t>TRX-345</t>
  </si>
  <si>
    <t>TRX-346</t>
  </si>
  <si>
    <t>TRX-347</t>
  </si>
  <si>
    <t>TRX-348</t>
  </si>
  <si>
    <t>TRX-349</t>
  </si>
  <si>
    <t>TRX-350</t>
  </si>
  <si>
    <t>TRX-351</t>
  </si>
  <si>
    <t>TRX-352</t>
  </si>
  <si>
    <t>TRX-353</t>
  </si>
  <si>
    <t>TRX-354</t>
  </si>
  <si>
    <t>TRX-355</t>
  </si>
  <si>
    <t>TRX-356</t>
  </si>
  <si>
    <t>TRX-357</t>
  </si>
  <si>
    <t>TRX-358</t>
  </si>
  <si>
    <t>TRX-359</t>
  </si>
  <si>
    <t>TRX-360</t>
  </si>
  <si>
    <t>TRX-361</t>
  </si>
  <si>
    <t>TRX-362</t>
  </si>
  <si>
    <t>TRX-363</t>
  </si>
  <si>
    <t>TRX-364</t>
  </si>
  <si>
    <t>TRX-365</t>
  </si>
  <si>
    <t>TRX-366</t>
  </si>
  <si>
    <t>TRX-367</t>
  </si>
  <si>
    <t>TRX-368</t>
  </si>
  <si>
    <t>TRX-369</t>
  </si>
  <si>
    <t>TRX-370</t>
  </si>
  <si>
    <t>TRX-371</t>
  </si>
  <si>
    <t>TRX-372</t>
  </si>
  <si>
    <t>TRX-373</t>
  </si>
  <si>
    <t>TRX-374</t>
  </si>
  <si>
    <t>TRX-375</t>
  </si>
  <si>
    <t>TRX-376</t>
  </si>
  <si>
    <t>TRX-377</t>
  </si>
  <si>
    <t>TRX-378</t>
  </si>
  <si>
    <t>TRX-379</t>
  </si>
  <si>
    <t>TRX-380</t>
  </si>
  <si>
    <t>TRX-381</t>
  </si>
  <si>
    <t>TRX-382</t>
  </si>
  <si>
    <t>TRX-383</t>
  </si>
  <si>
    <t>TRX-384</t>
  </si>
  <si>
    <t>TRX-385</t>
  </si>
  <si>
    <t>TRX-386</t>
  </si>
  <si>
    <t>TRX-387</t>
  </si>
  <si>
    <t>TRX-388</t>
  </si>
  <si>
    <t>TRX-389</t>
  </si>
  <si>
    <t>TRX-390</t>
  </si>
  <si>
    <t>TRX-391</t>
  </si>
  <si>
    <t>TRX-392</t>
  </si>
  <si>
    <t>TRX-393</t>
  </si>
  <si>
    <t>TRX-394</t>
  </si>
  <si>
    <t>TRX-395</t>
  </si>
  <si>
    <t>TRX-396</t>
  </si>
  <si>
    <t>TRX-397</t>
  </si>
  <si>
    <t>TRX-398</t>
  </si>
  <si>
    <t>TRX-399</t>
  </si>
  <si>
    <t>TRX-400</t>
  </si>
  <si>
    <t>TRX-401</t>
  </si>
  <si>
    <t>TRX-402</t>
  </si>
  <si>
    <t>TRX-403</t>
  </si>
  <si>
    <t>TRX-404</t>
  </si>
  <si>
    <t>TRX-405</t>
  </si>
  <si>
    <t>TRX-406</t>
  </si>
  <si>
    <t>TRX-407</t>
  </si>
  <si>
    <t>TRX-408</t>
  </si>
  <si>
    <t>TRX-409</t>
  </si>
  <si>
    <t>TRX-410</t>
  </si>
  <si>
    <t>TRX-411</t>
  </si>
  <si>
    <t>TRX-412</t>
  </si>
  <si>
    <t>TRX-413</t>
  </si>
  <si>
    <t>TRX-414</t>
  </si>
  <si>
    <t>TRX-415</t>
  </si>
  <si>
    <t>TRX-416</t>
  </si>
  <si>
    <t>TRX-417</t>
  </si>
  <si>
    <t>TRX-418</t>
  </si>
  <si>
    <t>TRX-419</t>
  </si>
  <si>
    <t>TRX-420</t>
  </si>
  <si>
    <t>TRX-421</t>
  </si>
  <si>
    <t>TRX-422</t>
  </si>
  <si>
    <t>TRX-423</t>
  </si>
  <si>
    <t>TRX-424</t>
  </si>
  <si>
    <t>TRX-425</t>
  </si>
  <si>
    <t>TRX-426</t>
  </si>
  <si>
    <t>TRX-427</t>
  </si>
  <si>
    <t>TRX-428</t>
  </si>
  <si>
    <t>TRX-429</t>
  </si>
  <si>
    <t>TRX-430</t>
  </si>
  <si>
    <t>TRX-431</t>
  </si>
  <si>
    <t>TRX-432</t>
  </si>
  <si>
    <t>TRX-433</t>
  </si>
  <si>
    <t>TRX-434</t>
  </si>
  <si>
    <t>TRX-435</t>
  </si>
  <si>
    <t>TRX-436</t>
  </si>
  <si>
    <t>TRX-437</t>
  </si>
  <si>
    <t>TRX-438</t>
  </si>
  <si>
    <t>TRX-439</t>
  </si>
  <si>
    <t>TRX-440</t>
  </si>
  <si>
    <t>TRX-441</t>
  </si>
  <si>
    <t>TRX-442</t>
  </si>
  <si>
    <t>TRX-443</t>
  </si>
  <si>
    <t>TRX-444</t>
  </si>
  <si>
    <t>TRX-445</t>
  </si>
  <si>
    <t>TRX-446</t>
  </si>
  <si>
    <t>TRX-447</t>
  </si>
  <si>
    <t>TRX-448</t>
  </si>
  <si>
    <t>TRX-449</t>
  </si>
  <si>
    <t>TRX-450</t>
  </si>
  <si>
    <t>TRX-451</t>
  </si>
  <si>
    <t>TRX-452</t>
  </si>
  <si>
    <t>TRX-453</t>
  </si>
  <si>
    <t>TRX-454</t>
  </si>
  <si>
    <t>TRX-455</t>
  </si>
  <si>
    <t>TRX-456</t>
  </si>
  <si>
    <t>TRX-457</t>
  </si>
  <si>
    <t>TRX-458</t>
  </si>
  <si>
    <t>TRX-459</t>
  </si>
  <si>
    <t>TRX-460</t>
  </si>
  <si>
    <t>TRX-461</t>
  </si>
  <si>
    <t>TRX-462</t>
  </si>
  <si>
    <t>TRX-463</t>
  </si>
  <si>
    <t>TRX-464</t>
  </si>
  <si>
    <t>TRX-465</t>
  </si>
  <si>
    <t>TRX-466</t>
  </si>
  <si>
    <t>TRX-467</t>
  </si>
  <si>
    <t>TRX-468</t>
  </si>
  <si>
    <t>TRX-469</t>
  </si>
  <si>
    <t>TRX-470</t>
  </si>
  <si>
    <t>TRX-471</t>
  </si>
  <si>
    <t>TRX-472</t>
  </si>
  <si>
    <t>TRX-473</t>
  </si>
  <si>
    <t>TRX-474</t>
  </si>
  <si>
    <t>TRX-475</t>
  </si>
  <si>
    <t>TRX-476</t>
  </si>
  <si>
    <t>TRX-477</t>
  </si>
  <si>
    <t>TRX-478</t>
  </si>
  <si>
    <t>TRX-479</t>
  </si>
  <si>
    <t>TRX-480</t>
  </si>
  <si>
    <t>TRX-481</t>
  </si>
  <si>
    <t>TRX-482</t>
  </si>
  <si>
    <t>TRX-483</t>
  </si>
  <si>
    <t>TRX-484</t>
  </si>
  <si>
    <t>TRX-485</t>
  </si>
  <si>
    <t>TRX-486</t>
  </si>
  <si>
    <t>TRX-487</t>
  </si>
  <si>
    <t>TRX-488</t>
  </si>
  <si>
    <t>TRX-489</t>
  </si>
  <si>
    <t>TRX-490</t>
  </si>
  <si>
    <t>TRX-491</t>
  </si>
  <si>
    <t>TRX-492</t>
  </si>
  <si>
    <t>TRX-493</t>
  </si>
  <si>
    <t>TRX-494</t>
  </si>
  <si>
    <t>TRX-495</t>
  </si>
  <si>
    <t>TOTAL SETTLED TO CHINA / චීනයට ගෙවා අවසන් මුළු මුදල</t>
  </si>
  <si>
    <t>INTERMEDIARY &amp; OVERSEAS FRIEND RECONCILIATION LEDGER</t>
  </si>
  <si>
    <t>Tracking cash given to friends vs foreign payments settled to China with dynamic rate-based auto calculation</t>
  </si>
  <si>
    <t>Date</t>
  </si>
  <si>
    <t>Description / Bank Reference</t>
  </si>
  <si>
    <t>Foreign
Curr</t>
  </si>
  <si>
    <t>Settlement Notes / Remarks</t>
  </si>
  <si>
    <t>ASHEN ACCOUNT RECONCILIATION SUMMARY</t>
  </si>
  <si>
    <t>DUBAI FRIEND ACCOUNT RECONCILIATION</t>
  </si>
  <si>
    <t>Global Apparel - Commercial Bank USD TT</t>
  </si>
  <si>
    <t>DIRECT BANK TRANSFERS TOTAL</t>
  </si>
  <si>
    <t>BOC - Commercial Bank</t>
  </si>
  <si>
    <t>★ INTERMEDIARY 2: FRIEND 2 (Korea)</t>
  </si>
  <si>
    <t>DFCC - BOC</t>
  </si>
  <si>
    <t>BOC - HNB</t>
  </si>
  <si>
    <t>We owe Friend</t>
  </si>
  <si>
    <t xml:space="preserve">Ashen </t>
  </si>
  <si>
    <t>Friend 2 (Korea)</t>
  </si>
  <si>
    <t>Korea</t>
  </si>
  <si>
    <t>Ashen</t>
  </si>
  <si>
    <t>TT</t>
  </si>
  <si>
    <t>BOC-Seylan</t>
  </si>
  <si>
    <t>Boc-Sampath</t>
  </si>
  <si>
    <t xml:space="preserve">★ INTERMEDIARY 1: ASHEN </t>
  </si>
  <si>
    <t xml:space="preserve">Cash Given by Us (LKR)
</t>
  </si>
  <si>
    <t xml:space="preserve">Foreign Amount
</t>
  </si>
  <si>
    <t xml:space="preserve">Applied FX Rate
</t>
  </si>
  <si>
    <t xml:space="preserve">LKR Settled to China
</t>
  </si>
  <si>
    <t xml:space="preserve">Difference LKR
</t>
  </si>
  <si>
    <t xml:space="preserve">Balance Status
</t>
  </si>
  <si>
    <t xml:space="preserve">Running Balance (LKR)
</t>
  </si>
  <si>
    <t xml:space="preserve">★ DIRECT BANK TRANSFERS </t>
  </si>
  <si>
    <t xml:space="preserve">LKR Settled to China
 </t>
  </si>
  <si>
    <t xml:space="preserve">
</t>
  </si>
  <si>
    <t xml:space="preserve">CHINA SHIPMENT - OUTWARD SETTLEMENT LOG </t>
  </si>
  <si>
    <t xml:space="preserve">Applied FX Rate (LKR) </t>
  </si>
  <si>
    <t xml:space="preserve">Total LKR Settled to China </t>
  </si>
  <si>
    <t>Cumulative Settled</t>
  </si>
  <si>
    <t>Amount Received in LKR</t>
  </si>
  <si>
    <t>Cumulative Received in LKR</t>
  </si>
  <si>
    <t xml:space="preserve">Allocation Status </t>
  </si>
  <si>
    <t xml:space="preserve">GLOBAL APPAREL - INWARD FUNDS RECEIVED LOG </t>
  </si>
  <si>
    <t xml:space="preserve">1. LIVE EXECUTIVE FINANCIAL POSITION </t>
  </si>
  <si>
    <t xml:space="preserve">TOTAL CHINA LIABILITY
</t>
  </si>
  <si>
    <t xml:space="preserve">TOTAL RECEIVED FROM GLOBAL
</t>
  </si>
  <si>
    <t xml:space="preserve">TOTAL SETTLED TO CHINA
</t>
  </si>
  <si>
    <t xml:space="preserve">OUR NET CASH CONTRIBUTED
</t>
  </si>
  <si>
    <t xml:space="preserve">REMAINING DUE TO CHINA
</t>
  </si>
  <si>
    <t>2. PARTNER LIABILITY &amp; SETTLEMENT SHARE</t>
  </si>
  <si>
    <t>Partner Entity</t>
  </si>
  <si>
    <t>Gives cash to Our Company</t>
  </si>
  <si>
    <t>Direct Outflow Execution to China</t>
  </si>
  <si>
    <t xml:space="preserve">Global Apparel Solutions </t>
  </si>
  <si>
    <t>Our Company</t>
  </si>
  <si>
    <t>3. OVERSEAS FRIENDS &amp; AGENTS RECONCILIATION SUMMARY</t>
  </si>
  <si>
    <t xml:space="preserve">COMBINED PARTNERSHIP TOTAL </t>
  </si>
  <si>
    <t>Target Liability (LKR)</t>
  </si>
  <si>
    <t>Remaining Due (LKR)</t>
  </si>
  <si>
    <t xml:space="preserve">Live Account Status </t>
  </si>
  <si>
    <t>Net Balance (LKR)</t>
  </si>
  <si>
    <t>We Owe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</si>
</sst>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95959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1"/>
      <color rgb="FFFFFFFF"/>
      <name val="Calibri"/>
    </font>
    <font>
      <b/>
      <sz val="9"/>
      <color rgb="FF4A5568"/>
      <name val="Calibri"/>
    </font>
    <font>
      <b/>
      <sz val="12"/>
      <color rgb="FF1A202C"/>
      <name val="Calibri"/>
    </font>
    <font>
      <b/>
      <sz val="12"/>
      <color rgb="FF03543F"/>
      <name val="Calibri"/>
    </font>
    <font>
      <b/>
      <sz val="13"/>
      <color rgb="FF9B1C1C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  <fill>
      <patternFill patternType="solid">
        <fgColor rgb="FF1E4620"/>
        <bgColor rgb="FF1E4620"/>
      </patternFill>
    </fill>
    <fill>
      <patternFill patternType="solid">
        <fgColor rgb="FF1F4E78"/>
        <bgColor rgb="FF1F4E78"/>
      </patternFill>
    </fill>
    <fill>
      <patternFill patternType="solid">
        <fgColor rgb="FFF1F5F9"/>
        <bgColor rgb="FFF1F5F9"/>
      </patternFill>
    </fill>
    <fill>
      <patternFill patternType="solid">
        <fgColor rgb="FFDEF7EC"/>
        <bgColor rgb="FFDEF7EC"/>
      </patternFill>
    </fill>
    <fill>
      <patternFill patternType="solid">
        <fgColor rgb="FFFDE8E8"/>
        <bgColor rgb="FFFDE8E8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FFF2CC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475569"/>
      </top>
      <bottom style="double">
        <color rgb="FF1E293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4" fontId="3" fillId="2" borderId="1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4" fontId="3" fillId="2" borderId="2" xfId="0" applyNumberFormat="1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4" fontId="5" fillId="11" borderId="1" xfId="0" applyNumberFormat="1" applyFont="1" applyFill="1" applyBorder="1" applyAlignment="1">
      <alignment horizontal="right" vertical="center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/>
    </xf>
    <xf numFmtId="4" fontId="5" fillId="12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4" fontId="5" fillId="13" borderId="1" xfId="0" applyNumberFormat="1" applyFont="1" applyFill="1" applyBorder="1" applyAlignment="1">
      <alignment horizontal="right" vertical="center"/>
    </xf>
    <xf numFmtId="14" fontId="5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/>
    </xf>
    <xf numFmtId="4" fontId="5" fillId="14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3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6" fillId="3" borderId="0" xfId="0" applyFont="1" applyFill="1" applyAlignment="1">
      <alignment horizontal="left" vertical="center"/>
    </xf>
    <xf numFmtId="0" fontId="0" fillId="0" borderId="0" xfId="0"/>
    <xf numFmtId="0" fontId="6" fillId="7" borderId="0" xfId="0" applyFont="1" applyFill="1" applyAlignment="1">
      <alignment horizontal="left" vertical="center"/>
    </xf>
    <xf numFmtId="4" fontId="10" fillId="1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" fontId="9" fillId="9" borderId="1" xfId="0" applyNumberFormat="1" applyFont="1" applyFill="1" applyBorder="1" applyAlignment="1">
      <alignment horizontal="center" vertical="center" wrapText="1"/>
    </xf>
    <xf numFmtId="4" fontId="8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G24" sqref="G24"/>
    </sheetView>
  </sheetViews>
  <sheetFormatPr defaultRowHeight="15" x14ac:dyDescent="0.25"/>
  <cols>
    <col min="1" max="1" width="40" customWidth="1"/>
    <col min="2" max="2" width="36" customWidth="1"/>
    <col min="3" max="3" width="22" customWidth="1"/>
    <col min="4" max="6" width="26" customWidth="1"/>
    <col min="7" max="7" width="25" bestFit="1" customWidth="1"/>
    <col min="8" max="8" width="34" customWidth="1"/>
    <col min="9" max="10" width="22" customWidth="1"/>
  </cols>
  <sheetData>
    <row r="1" spans="1:10" ht="19.5" x14ac:dyDescent="0.3">
      <c r="A1" s="1" t="s">
        <v>0</v>
      </c>
    </row>
    <row r="2" spans="1:10" x14ac:dyDescent="0.25">
      <c r="A2" s="2"/>
    </row>
    <row r="4" spans="1:10" x14ac:dyDescent="0.25">
      <c r="A4" s="3" t="s">
        <v>1</v>
      </c>
      <c r="B4" s="3" t="s">
        <v>2</v>
      </c>
      <c r="D4" s="3" t="s">
        <v>3</v>
      </c>
      <c r="E4" s="4">
        <v>472</v>
      </c>
      <c r="G4" s="3" t="s">
        <v>4</v>
      </c>
      <c r="H4" s="4">
        <v>330</v>
      </c>
    </row>
    <row r="5" spans="1:10" x14ac:dyDescent="0.25">
      <c r="A5" s="3" t="s">
        <v>5</v>
      </c>
      <c r="B5" s="4">
        <v>206316.96</v>
      </c>
      <c r="D5" s="3" t="s">
        <v>6</v>
      </c>
      <c r="E5" s="4">
        <v>4991500</v>
      </c>
      <c r="G5" s="3" t="s">
        <v>7</v>
      </c>
      <c r="H5" s="4">
        <v>73076096.799999997</v>
      </c>
    </row>
    <row r="7" spans="1:10" x14ac:dyDescent="0.25">
      <c r="A7" s="43" t="s">
        <v>1073</v>
      </c>
      <c r="B7" s="42"/>
      <c r="C7" s="42"/>
      <c r="D7" s="42"/>
      <c r="E7" s="42"/>
      <c r="F7" s="42"/>
      <c r="G7" s="42"/>
      <c r="H7" s="42"/>
      <c r="I7" s="42"/>
      <c r="J7" s="42"/>
    </row>
    <row r="8" spans="1:10" ht="27" customHeight="1" x14ac:dyDescent="0.25">
      <c r="A8" s="48" t="s">
        <v>1074</v>
      </c>
      <c r="B8" s="45"/>
      <c r="C8" s="49" t="s">
        <v>1075</v>
      </c>
      <c r="D8" s="45"/>
      <c r="E8" s="48" t="s">
        <v>1076</v>
      </c>
      <c r="F8" s="45"/>
      <c r="G8" s="48" t="s">
        <v>1077</v>
      </c>
      <c r="H8" s="45"/>
      <c r="I8" s="50" t="s">
        <v>1078</v>
      </c>
      <c r="J8" s="45"/>
    </row>
    <row r="9" spans="1:10" ht="21" customHeight="1" x14ac:dyDescent="0.25">
      <c r="A9" s="47">
        <f>H5</f>
        <v>73076096.799999997</v>
      </c>
      <c r="B9" s="45"/>
      <c r="C9" s="46">
        <f>'Global Inflow Log'!E500</f>
        <v>15917478.1</v>
      </c>
      <c r="D9" s="45"/>
      <c r="E9" s="47">
        <f>'China Outflow Log'!H500</f>
        <v>30534298.100000001</v>
      </c>
      <c r="F9" s="45"/>
      <c r="G9" s="47"/>
      <c r="H9" s="45"/>
      <c r="I9" s="44">
        <f>A9-E9</f>
        <v>42541798.699999996</v>
      </c>
      <c r="J9" s="45"/>
    </row>
    <row r="12" spans="1:10" x14ac:dyDescent="0.25">
      <c r="A12" s="41" t="s">
        <v>1079</v>
      </c>
      <c r="B12" s="42"/>
      <c r="C12" s="42"/>
      <c r="D12" s="42"/>
      <c r="E12" s="42"/>
      <c r="F12" s="42"/>
      <c r="G12" s="42"/>
      <c r="H12" s="42"/>
      <c r="I12" s="42"/>
      <c r="J12" s="42"/>
    </row>
    <row r="14" spans="1:10" ht="25.5" x14ac:dyDescent="0.25">
      <c r="A14" s="5" t="s">
        <v>1080</v>
      </c>
      <c r="B14" s="5" t="s">
        <v>8</v>
      </c>
      <c r="C14" s="5" t="s">
        <v>9</v>
      </c>
      <c r="D14" s="5" t="s">
        <v>1087</v>
      </c>
      <c r="E14" s="5" t="s">
        <v>10</v>
      </c>
      <c r="F14" s="5" t="s">
        <v>1088</v>
      </c>
      <c r="G14" s="5" t="s">
        <v>11</v>
      </c>
      <c r="H14" s="5" t="s">
        <v>1089</v>
      </c>
    </row>
    <row r="15" spans="1:10" ht="23.25" customHeight="1" x14ac:dyDescent="0.25">
      <c r="A15" s="6" t="s">
        <v>1083</v>
      </c>
      <c r="B15" s="6" t="s">
        <v>1081</v>
      </c>
      <c r="C15" s="7">
        <v>0.5</v>
      </c>
      <c r="D15" s="8">
        <f>$H$5*C15</f>
        <v>36538048.399999999</v>
      </c>
      <c r="E15" s="8">
        <f>C9</f>
        <v>15917478.1</v>
      </c>
      <c r="F15" s="8">
        <f>D15-E15</f>
        <v>20620570.299999997</v>
      </c>
      <c r="G15" s="7">
        <f>IF(D15&gt;0, E15/D15, 0)</f>
        <v>0.43564116850860596</v>
      </c>
      <c r="H15" s="9" t="str">
        <f>IF(F15&lt;=0, "✓ FULLY SETTLED TO US", "⚠ GLOBAL OWES US: " &amp; TEXT(F15, "#,##0.00"))</f>
        <v>⚠ GLOBAL OWES US: 20,620,570.30</v>
      </c>
    </row>
    <row r="16" spans="1:10" ht="22.5" customHeight="1" x14ac:dyDescent="0.25">
      <c r="A16" s="6" t="s">
        <v>1084</v>
      </c>
      <c r="B16" s="6" t="s">
        <v>1082</v>
      </c>
      <c r="C16" s="7">
        <v>0.5</v>
      </c>
      <c r="D16" s="8">
        <f>$H$5*C16</f>
        <v>36538048.399999999</v>
      </c>
      <c r="E16" s="8">
        <f>G9</f>
        <v>0</v>
      </c>
      <c r="F16" s="8">
        <f>D16-E16</f>
        <v>36538048.399999999</v>
      </c>
      <c r="G16" s="7">
        <f>IF(D16&gt;0, E16/D16, 0)</f>
        <v>0</v>
      </c>
      <c r="H16" s="9" t="str">
        <f>IF(F16&lt;=0, "✓ OUR SHARE COMPLETED", "⏳ OUR SHARE PENDING: " &amp; TEXT(F16, "#,##0.00"))</f>
        <v>⏳ OUR SHARE PENDING: 36,538,048.40</v>
      </c>
    </row>
    <row r="17" spans="1:8" ht="18" customHeight="1" x14ac:dyDescent="0.25">
      <c r="A17" s="10" t="s">
        <v>1086</v>
      </c>
      <c r="B17" s="10" t="s">
        <v>12</v>
      </c>
      <c r="C17" s="11">
        <f>SUM(C15:C16)</f>
        <v>1</v>
      </c>
      <c r="D17" s="12">
        <f>SUM(D15:D16)</f>
        <v>73076096.799999997</v>
      </c>
      <c r="E17" s="12">
        <f>SUM(E15:E16)</f>
        <v>15917478.1</v>
      </c>
      <c r="F17" s="12">
        <f>SUM(F15:F16)</f>
        <v>57158618.699999996</v>
      </c>
      <c r="G17" s="11">
        <f>IF(D17&gt;0, E17/D17, 0)</f>
        <v>0.21782058425430298</v>
      </c>
      <c r="H17" s="10" t="str">
        <f>IF(I9&lt;=0, "✓ 100% COMPLETE &amp; SETTLED", "REMAINING TOTAL: " &amp; TEXT(I9, "#,##0.00"))</f>
        <v>REMAINING TOTAL: 42,541,798.70</v>
      </c>
    </row>
    <row r="20" spans="1:8" x14ac:dyDescent="0.25">
      <c r="A20" s="41" t="s">
        <v>1085</v>
      </c>
      <c r="B20" s="42"/>
      <c r="C20" s="42"/>
      <c r="D20" s="42"/>
      <c r="E20" s="42"/>
      <c r="F20" s="42"/>
      <c r="G20" s="42"/>
      <c r="H20" s="42"/>
    </row>
    <row r="22" spans="1:8" ht="25.5" x14ac:dyDescent="0.25">
      <c r="A22" s="5" t="s">
        <v>13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1090</v>
      </c>
      <c r="G22" s="5" t="s">
        <v>18</v>
      </c>
      <c r="H22" s="5" t="s">
        <v>19</v>
      </c>
    </row>
    <row r="23" spans="1:8" ht="22.5" customHeight="1" x14ac:dyDescent="0.25">
      <c r="A23" s="6" t="s">
        <v>1047</v>
      </c>
      <c r="B23" s="13"/>
      <c r="C23" s="13"/>
      <c r="D23" s="8">
        <f>'Friend &amp; Agent Settlement'!C15</f>
        <v>4300000</v>
      </c>
      <c r="E23" s="8">
        <f>'Friend &amp; Agent Settlement'!G15</f>
        <v>4454800</v>
      </c>
      <c r="F23" s="8">
        <f>'Friend &amp; Agent Settlement'!H15</f>
        <v>-154800</v>
      </c>
      <c r="G23" s="6" t="str">
        <f>'Friend &amp; Agent Settlement'!I15</f>
        <v>We owe Friend</v>
      </c>
      <c r="H23" s="6" t="str">
        <f>IF(F23&gt;0, "Hold surplus for next tranche", IF(F23&lt;0, "Api must pay balance to Ashen", "Settled"))</f>
        <v>Api must pay balance to Ashen</v>
      </c>
    </row>
    <row r="24" spans="1:8" ht="21.75" customHeight="1" x14ac:dyDescent="0.25">
      <c r="A24" s="6" t="s">
        <v>1048</v>
      </c>
      <c r="B24" s="13" t="s">
        <v>1049</v>
      </c>
      <c r="C24" s="13"/>
      <c r="D24" s="8">
        <f>'Friend &amp; Agent Settlement'!C32</f>
        <v>10109330</v>
      </c>
      <c r="E24" s="8">
        <f>'Friend &amp; Agent Settlement'!G32</f>
        <v>10162020</v>
      </c>
      <c r="F24" s="8">
        <f>'Friend &amp; Agent Settlement'!H32</f>
        <v>-52690</v>
      </c>
      <c r="G24" s="6" t="s">
        <v>1091</v>
      </c>
      <c r="H24" s="6" t="str">
        <f>IF(F24&gt;0, "Surplus held for next batch", IF(F24&lt;0, "Api must pay balance to friend", "Settled"))</f>
        <v>Api must pay balance to friend</v>
      </c>
    </row>
    <row r="25" spans="1:8" ht="23.25" customHeight="1" x14ac:dyDescent="0.25">
      <c r="A25" s="6" t="s">
        <v>20</v>
      </c>
      <c r="B25" s="13" t="s">
        <v>21</v>
      </c>
      <c r="C25" s="13" t="s">
        <v>22</v>
      </c>
      <c r="D25" s="8">
        <v>15917478.1</v>
      </c>
      <c r="E25" s="8">
        <v>15917478.1</v>
      </c>
      <c r="F25" s="8">
        <v>0</v>
      </c>
      <c r="G25" s="6" t="s">
        <v>23</v>
      </c>
      <c r="H25" s="6" t="s">
        <v>24</v>
      </c>
    </row>
  </sheetData>
  <mergeCells count="13">
    <mergeCell ref="A20:H20"/>
    <mergeCell ref="A12:J12"/>
    <mergeCell ref="A7:J7"/>
    <mergeCell ref="I9:J9"/>
    <mergeCell ref="C9:D9"/>
    <mergeCell ref="A9:B9"/>
    <mergeCell ref="G9:H9"/>
    <mergeCell ref="A8:B8"/>
    <mergeCell ref="E8:F8"/>
    <mergeCell ref="C8:D8"/>
    <mergeCell ref="E9:F9"/>
    <mergeCell ref="G8:H8"/>
    <mergeCell ref="I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workbookViewId="0">
      <selection activeCell="A2" sqref="A2"/>
    </sheetView>
  </sheetViews>
  <sheetFormatPr defaultRowHeight="15" x14ac:dyDescent="0.25"/>
  <cols>
    <col min="1" max="2" width="16" customWidth="1"/>
    <col min="3" max="4" width="34" customWidth="1"/>
    <col min="5" max="6" width="28" customWidth="1"/>
    <col min="7" max="7" width="32" customWidth="1"/>
    <col min="8" max="8" width="36" customWidth="1"/>
  </cols>
  <sheetData>
    <row r="1" spans="1:8" ht="19.5" x14ac:dyDescent="0.3">
      <c r="A1" s="54" t="s">
        <v>1072</v>
      </c>
      <c r="B1" s="54"/>
      <c r="C1" s="54"/>
      <c r="D1" s="54"/>
    </row>
    <row r="2" spans="1:8" x14ac:dyDescent="0.25">
      <c r="A2" s="2"/>
    </row>
    <row r="4" spans="1:8" ht="25.5" x14ac:dyDescent="0.25">
      <c r="A4" s="14" t="s">
        <v>25</v>
      </c>
      <c r="B4" s="14" t="s">
        <v>26</v>
      </c>
      <c r="C4" s="14" t="s">
        <v>27</v>
      </c>
      <c r="D4" s="14" t="s">
        <v>28</v>
      </c>
      <c r="E4" s="14" t="s">
        <v>1069</v>
      </c>
      <c r="F4" s="14" t="s">
        <v>1070</v>
      </c>
      <c r="G4" s="14" t="s">
        <v>1071</v>
      </c>
      <c r="H4" s="14" t="s">
        <v>29</v>
      </c>
    </row>
    <row r="5" spans="1:8" x14ac:dyDescent="0.25">
      <c r="A5" s="13" t="s">
        <v>30</v>
      </c>
      <c r="B5" s="23">
        <v>46243</v>
      </c>
      <c r="C5" s="6"/>
      <c r="D5" s="6"/>
      <c r="E5" s="8">
        <v>15917478.1</v>
      </c>
      <c r="F5" s="8"/>
      <c r="G5" s="13"/>
      <c r="H5" s="6"/>
    </row>
    <row r="6" spans="1:8" x14ac:dyDescent="0.25">
      <c r="A6" s="13" t="s">
        <v>32</v>
      </c>
      <c r="B6" s="13"/>
      <c r="C6" s="6"/>
      <c r="D6" s="6"/>
      <c r="E6" s="8"/>
      <c r="F6" s="8"/>
      <c r="G6" s="13"/>
      <c r="H6" s="6"/>
    </row>
    <row r="7" spans="1:8" x14ac:dyDescent="0.25">
      <c r="A7" s="13" t="s">
        <v>33</v>
      </c>
      <c r="B7" s="13"/>
      <c r="C7" s="6"/>
      <c r="D7" s="6"/>
      <c r="E7" s="8"/>
      <c r="F7" s="8" t="str">
        <f t="shared" ref="F7:F70" si="0">IF(OR(E7="",E7=0), "", IF(ISNUMBER(F6), F6+E7, E7))</f>
        <v/>
      </c>
      <c r="G7" s="13" t="str">
        <f t="shared" ref="G7:G70" si="1">IF(OR(E7="",E7=0), "", "✓ Received &amp; Logged")</f>
        <v/>
      </c>
      <c r="H7" s="6"/>
    </row>
    <row r="8" spans="1:8" x14ac:dyDescent="0.25">
      <c r="A8" s="13" t="s">
        <v>34</v>
      </c>
      <c r="B8" s="13"/>
      <c r="C8" s="6"/>
      <c r="D8" s="6"/>
      <c r="E8" s="8"/>
      <c r="F8" s="8" t="str">
        <f t="shared" si="0"/>
        <v/>
      </c>
      <c r="G8" s="13" t="str">
        <f t="shared" si="1"/>
        <v/>
      </c>
      <c r="H8" s="6"/>
    </row>
    <row r="9" spans="1:8" x14ac:dyDescent="0.25">
      <c r="A9" s="13" t="s">
        <v>35</v>
      </c>
      <c r="B9" s="13"/>
      <c r="C9" s="6"/>
      <c r="D9" s="6"/>
      <c r="E9" s="8"/>
      <c r="F9" s="8" t="str">
        <f t="shared" si="0"/>
        <v/>
      </c>
      <c r="G9" s="13" t="str">
        <f t="shared" si="1"/>
        <v/>
      </c>
      <c r="H9" s="6"/>
    </row>
    <row r="10" spans="1:8" x14ac:dyDescent="0.25">
      <c r="A10" s="13" t="s">
        <v>36</v>
      </c>
      <c r="B10" s="13"/>
      <c r="C10" s="6"/>
      <c r="D10" s="6"/>
      <c r="E10" s="8"/>
      <c r="F10" s="8" t="str">
        <f t="shared" si="0"/>
        <v/>
      </c>
      <c r="G10" s="13" t="str">
        <f t="shared" si="1"/>
        <v/>
      </c>
      <c r="H10" s="6"/>
    </row>
    <row r="11" spans="1:8" x14ac:dyDescent="0.25">
      <c r="A11" s="13" t="s">
        <v>37</v>
      </c>
      <c r="B11" s="13"/>
      <c r="C11" s="6"/>
      <c r="D11" s="6"/>
      <c r="E11" s="8"/>
      <c r="F11" s="8" t="str">
        <f t="shared" si="0"/>
        <v/>
      </c>
      <c r="G11" s="13" t="str">
        <f t="shared" si="1"/>
        <v/>
      </c>
      <c r="H11" s="6"/>
    </row>
    <row r="12" spans="1:8" x14ac:dyDescent="0.25">
      <c r="A12" s="13" t="s">
        <v>38</v>
      </c>
      <c r="B12" s="13"/>
      <c r="C12" s="6"/>
      <c r="D12" s="6"/>
      <c r="E12" s="8"/>
      <c r="F12" s="8" t="str">
        <f t="shared" si="0"/>
        <v/>
      </c>
      <c r="G12" s="13" t="str">
        <f t="shared" si="1"/>
        <v/>
      </c>
      <c r="H12" s="6"/>
    </row>
    <row r="13" spans="1:8" x14ac:dyDescent="0.25">
      <c r="A13" s="13" t="s">
        <v>39</v>
      </c>
      <c r="B13" s="13"/>
      <c r="C13" s="6"/>
      <c r="D13" s="6"/>
      <c r="E13" s="8"/>
      <c r="F13" s="8" t="str">
        <f t="shared" si="0"/>
        <v/>
      </c>
      <c r="G13" s="13" t="str">
        <f t="shared" si="1"/>
        <v/>
      </c>
      <c r="H13" s="6"/>
    </row>
    <row r="14" spans="1:8" x14ac:dyDescent="0.25">
      <c r="A14" s="13" t="s">
        <v>40</v>
      </c>
      <c r="B14" s="13"/>
      <c r="C14" s="6"/>
      <c r="D14" s="6"/>
      <c r="E14" s="8"/>
      <c r="F14" s="8" t="str">
        <f t="shared" si="0"/>
        <v/>
      </c>
      <c r="G14" s="13" t="str">
        <f t="shared" si="1"/>
        <v/>
      </c>
      <c r="H14" s="6"/>
    </row>
    <row r="15" spans="1:8" x14ac:dyDescent="0.25">
      <c r="A15" s="13" t="s">
        <v>41</v>
      </c>
      <c r="B15" s="13"/>
      <c r="C15" s="6"/>
      <c r="D15" s="6"/>
      <c r="E15" s="8"/>
      <c r="F15" s="8" t="str">
        <f t="shared" si="0"/>
        <v/>
      </c>
      <c r="G15" s="13" t="str">
        <f t="shared" si="1"/>
        <v/>
      </c>
      <c r="H15" s="6"/>
    </row>
    <row r="16" spans="1:8" x14ac:dyDescent="0.25">
      <c r="A16" s="13" t="s">
        <v>42</v>
      </c>
      <c r="B16" s="13"/>
      <c r="C16" s="6"/>
      <c r="D16" s="6"/>
      <c r="E16" s="8"/>
      <c r="F16" s="8" t="str">
        <f t="shared" si="0"/>
        <v/>
      </c>
      <c r="G16" s="13" t="str">
        <f t="shared" si="1"/>
        <v/>
      </c>
      <c r="H16" s="6"/>
    </row>
    <row r="17" spans="1:8" x14ac:dyDescent="0.25">
      <c r="A17" s="13" t="s">
        <v>43</v>
      </c>
      <c r="B17" s="13"/>
      <c r="C17" s="6"/>
      <c r="D17" s="6"/>
      <c r="E17" s="8"/>
      <c r="F17" s="8" t="str">
        <f t="shared" si="0"/>
        <v/>
      </c>
      <c r="G17" s="13" t="str">
        <f t="shared" si="1"/>
        <v/>
      </c>
      <c r="H17" s="6"/>
    </row>
    <row r="18" spans="1:8" x14ac:dyDescent="0.25">
      <c r="A18" s="13" t="s">
        <v>44</v>
      </c>
      <c r="B18" s="13"/>
      <c r="C18" s="6"/>
      <c r="D18" s="6"/>
      <c r="E18" s="8"/>
      <c r="F18" s="8" t="str">
        <f t="shared" si="0"/>
        <v/>
      </c>
      <c r="G18" s="13" t="str">
        <f t="shared" si="1"/>
        <v/>
      </c>
      <c r="H18" s="6"/>
    </row>
    <row r="19" spans="1:8" x14ac:dyDescent="0.25">
      <c r="A19" s="13" t="s">
        <v>45</v>
      </c>
      <c r="B19" s="13"/>
      <c r="C19" s="6"/>
      <c r="D19" s="6"/>
      <c r="E19" s="8"/>
      <c r="F19" s="8" t="str">
        <f t="shared" si="0"/>
        <v/>
      </c>
      <c r="G19" s="13" t="str">
        <f t="shared" si="1"/>
        <v/>
      </c>
      <c r="H19" s="6"/>
    </row>
    <row r="20" spans="1:8" x14ac:dyDescent="0.25">
      <c r="A20" s="13" t="s">
        <v>46</v>
      </c>
      <c r="B20" s="13"/>
      <c r="C20" s="6"/>
      <c r="D20" s="6"/>
      <c r="E20" s="8"/>
      <c r="F20" s="8" t="str">
        <f t="shared" si="0"/>
        <v/>
      </c>
      <c r="G20" s="13" t="str">
        <f t="shared" si="1"/>
        <v/>
      </c>
      <c r="H20" s="6"/>
    </row>
    <row r="21" spans="1:8" x14ac:dyDescent="0.25">
      <c r="A21" s="13" t="s">
        <v>47</v>
      </c>
      <c r="B21" s="13"/>
      <c r="C21" s="6"/>
      <c r="D21" s="6"/>
      <c r="E21" s="8"/>
      <c r="F21" s="8" t="str">
        <f t="shared" si="0"/>
        <v/>
      </c>
      <c r="G21" s="13" t="str">
        <f t="shared" si="1"/>
        <v/>
      </c>
      <c r="H21" s="6"/>
    </row>
    <row r="22" spans="1:8" x14ac:dyDescent="0.25">
      <c r="A22" s="13" t="s">
        <v>48</v>
      </c>
      <c r="B22" s="13"/>
      <c r="C22" s="6"/>
      <c r="D22" s="6"/>
      <c r="E22" s="8"/>
      <c r="F22" s="8" t="str">
        <f t="shared" si="0"/>
        <v/>
      </c>
      <c r="G22" s="13" t="str">
        <f t="shared" si="1"/>
        <v/>
      </c>
      <c r="H22" s="6"/>
    </row>
    <row r="23" spans="1:8" x14ac:dyDescent="0.25">
      <c r="A23" s="13" t="s">
        <v>49</v>
      </c>
      <c r="B23" s="13"/>
      <c r="C23" s="6"/>
      <c r="D23" s="6"/>
      <c r="E23" s="8"/>
      <c r="F23" s="8" t="str">
        <f t="shared" si="0"/>
        <v/>
      </c>
      <c r="G23" s="13" t="str">
        <f t="shared" si="1"/>
        <v/>
      </c>
      <c r="H23" s="6"/>
    </row>
    <row r="24" spans="1:8" x14ac:dyDescent="0.25">
      <c r="A24" s="13" t="s">
        <v>50</v>
      </c>
      <c r="B24" s="13"/>
      <c r="C24" s="6"/>
      <c r="D24" s="6"/>
      <c r="E24" s="8"/>
      <c r="F24" s="8" t="str">
        <f t="shared" si="0"/>
        <v/>
      </c>
      <c r="G24" s="13" t="str">
        <f t="shared" si="1"/>
        <v/>
      </c>
      <c r="H24" s="6"/>
    </row>
    <row r="25" spans="1:8" x14ac:dyDescent="0.25">
      <c r="A25" s="13" t="s">
        <v>51</v>
      </c>
      <c r="B25" s="13"/>
      <c r="C25" s="6"/>
      <c r="D25" s="6"/>
      <c r="E25" s="8"/>
      <c r="F25" s="8" t="str">
        <f t="shared" si="0"/>
        <v/>
      </c>
      <c r="G25" s="13" t="str">
        <f t="shared" si="1"/>
        <v/>
      </c>
      <c r="H25" s="6"/>
    </row>
    <row r="26" spans="1:8" x14ac:dyDescent="0.25">
      <c r="A26" s="13" t="s">
        <v>52</v>
      </c>
      <c r="B26" s="13"/>
      <c r="C26" s="6"/>
      <c r="D26" s="6"/>
      <c r="E26" s="8"/>
      <c r="F26" s="8" t="str">
        <f t="shared" si="0"/>
        <v/>
      </c>
      <c r="G26" s="13" t="str">
        <f t="shared" si="1"/>
        <v/>
      </c>
      <c r="H26" s="6"/>
    </row>
    <row r="27" spans="1:8" x14ac:dyDescent="0.25">
      <c r="A27" s="13" t="s">
        <v>53</v>
      </c>
      <c r="B27" s="13"/>
      <c r="C27" s="6"/>
      <c r="D27" s="6"/>
      <c r="E27" s="8"/>
      <c r="F27" s="8" t="str">
        <f t="shared" si="0"/>
        <v/>
      </c>
      <c r="G27" s="13" t="str">
        <f t="shared" si="1"/>
        <v/>
      </c>
      <c r="H27" s="6"/>
    </row>
    <row r="28" spans="1:8" x14ac:dyDescent="0.25">
      <c r="A28" s="13" t="s">
        <v>54</v>
      </c>
      <c r="B28" s="13"/>
      <c r="C28" s="6"/>
      <c r="D28" s="6"/>
      <c r="E28" s="8"/>
      <c r="F28" s="8" t="str">
        <f t="shared" si="0"/>
        <v/>
      </c>
      <c r="G28" s="13" t="str">
        <f t="shared" si="1"/>
        <v/>
      </c>
      <c r="H28" s="6"/>
    </row>
    <row r="29" spans="1:8" x14ac:dyDescent="0.25">
      <c r="A29" s="13" t="s">
        <v>55</v>
      </c>
      <c r="B29" s="13"/>
      <c r="C29" s="6"/>
      <c r="D29" s="6"/>
      <c r="E29" s="8"/>
      <c r="F29" s="8" t="str">
        <f t="shared" si="0"/>
        <v/>
      </c>
      <c r="G29" s="13" t="str">
        <f t="shared" si="1"/>
        <v/>
      </c>
      <c r="H29" s="6"/>
    </row>
    <row r="30" spans="1:8" x14ac:dyDescent="0.25">
      <c r="A30" s="13" t="s">
        <v>56</v>
      </c>
      <c r="B30" s="13"/>
      <c r="C30" s="6"/>
      <c r="D30" s="6"/>
      <c r="E30" s="8"/>
      <c r="F30" s="8" t="str">
        <f t="shared" si="0"/>
        <v/>
      </c>
      <c r="G30" s="13" t="str">
        <f t="shared" si="1"/>
        <v/>
      </c>
      <c r="H30" s="6"/>
    </row>
    <row r="31" spans="1:8" x14ac:dyDescent="0.25">
      <c r="A31" s="13" t="s">
        <v>57</v>
      </c>
      <c r="B31" s="13"/>
      <c r="C31" s="6"/>
      <c r="D31" s="6"/>
      <c r="E31" s="8"/>
      <c r="F31" s="8" t="str">
        <f t="shared" si="0"/>
        <v/>
      </c>
      <c r="G31" s="13" t="str">
        <f t="shared" si="1"/>
        <v/>
      </c>
      <c r="H31" s="6"/>
    </row>
    <row r="32" spans="1:8" x14ac:dyDescent="0.25">
      <c r="A32" s="13" t="s">
        <v>58</v>
      </c>
      <c r="B32" s="13"/>
      <c r="C32" s="6"/>
      <c r="D32" s="6"/>
      <c r="E32" s="8"/>
      <c r="F32" s="8" t="str">
        <f t="shared" si="0"/>
        <v/>
      </c>
      <c r="G32" s="13" t="str">
        <f t="shared" si="1"/>
        <v/>
      </c>
      <c r="H32" s="6"/>
    </row>
    <row r="33" spans="1:8" x14ac:dyDescent="0.25">
      <c r="A33" s="13" t="s">
        <v>59</v>
      </c>
      <c r="B33" s="13"/>
      <c r="C33" s="6"/>
      <c r="D33" s="6"/>
      <c r="E33" s="8"/>
      <c r="F33" s="8" t="str">
        <f t="shared" si="0"/>
        <v/>
      </c>
      <c r="G33" s="13" t="str">
        <f t="shared" si="1"/>
        <v/>
      </c>
      <c r="H33" s="6"/>
    </row>
    <row r="34" spans="1:8" x14ac:dyDescent="0.25">
      <c r="A34" s="13" t="s">
        <v>60</v>
      </c>
      <c r="B34" s="13"/>
      <c r="C34" s="6"/>
      <c r="D34" s="6"/>
      <c r="E34" s="8"/>
      <c r="F34" s="8" t="str">
        <f t="shared" si="0"/>
        <v/>
      </c>
      <c r="G34" s="13" t="str">
        <f t="shared" si="1"/>
        <v/>
      </c>
      <c r="H34" s="6"/>
    </row>
    <row r="35" spans="1:8" x14ac:dyDescent="0.25">
      <c r="A35" s="13" t="s">
        <v>61</v>
      </c>
      <c r="B35" s="13"/>
      <c r="C35" s="6"/>
      <c r="D35" s="6"/>
      <c r="E35" s="8"/>
      <c r="F35" s="8" t="str">
        <f t="shared" si="0"/>
        <v/>
      </c>
      <c r="G35" s="13" t="str">
        <f t="shared" si="1"/>
        <v/>
      </c>
      <c r="H35" s="6"/>
    </row>
    <row r="36" spans="1:8" x14ac:dyDescent="0.25">
      <c r="A36" s="13" t="s">
        <v>62</v>
      </c>
      <c r="B36" s="13"/>
      <c r="C36" s="6"/>
      <c r="D36" s="6"/>
      <c r="E36" s="8"/>
      <c r="F36" s="8" t="str">
        <f t="shared" si="0"/>
        <v/>
      </c>
      <c r="G36" s="13" t="str">
        <f t="shared" si="1"/>
        <v/>
      </c>
      <c r="H36" s="6"/>
    </row>
    <row r="37" spans="1:8" x14ac:dyDescent="0.25">
      <c r="A37" s="13" t="s">
        <v>63</v>
      </c>
      <c r="B37" s="13"/>
      <c r="C37" s="6"/>
      <c r="D37" s="6"/>
      <c r="E37" s="8"/>
      <c r="F37" s="8" t="str">
        <f t="shared" si="0"/>
        <v/>
      </c>
      <c r="G37" s="13" t="str">
        <f t="shared" si="1"/>
        <v/>
      </c>
      <c r="H37" s="6"/>
    </row>
    <row r="38" spans="1:8" x14ac:dyDescent="0.25">
      <c r="A38" s="13" t="s">
        <v>64</v>
      </c>
      <c r="B38" s="13"/>
      <c r="C38" s="6"/>
      <c r="D38" s="6"/>
      <c r="E38" s="8"/>
      <c r="F38" s="8" t="str">
        <f t="shared" si="0"/>
        <v/>
      </c>
      <c r="G38" s="13" t="str">
        <f t="shared" si="1"/>
        <v/>
      </c>
      <c r="H38" s="6"/>
    </row>
    <row r="39" spans="1:8" x14ac:dyDescent="0.25">
      <c r="A39" s="13" t="s">
        <v>65</v>
      </c>
      <c r="B39" s="13"/>
      <c r="C39" s="6"/>
      <c r="D39" s="6"/>
      <c r="E39" s="8"/>
      <c r="F39" s="8" t="str">
        <f t="shared" si="0"/>
        <v/>
      </c>
      <c r="G39" s="13" t="str">
        <f t="shared" si="1"/>
        <v/>
      </c>
      <c r="H39" s="6"/>
    </row>
    <row r="40" spans="1:8" x14ac:dyDescent="0.25">
      <c r="A40" s="13" t="s">
        <v>66</v>
      </c>
      <c r="B40" s="13"/>
      <c r="C40" s="6"/>
      <c r="D40" s="6"/>
      <c r="E40" s="8"/>
      <c r="F40" s="8" t="str">
        <f t="shared" si="0"/>
        <v/>
      </c>
      <c r="G40" s="13" t="str">
        <f t="shared" si="1"/>
        <v/>
      </c>
      <c r="H40" s="6"/>
    </row>
    <row r="41" spans="1:8" x14ac:dyDescent="0.25">
      <c r="A41" s="13" t="s">
        <v>67</v>
      </c>
      <c r="B41" s="13"/>
      <c r="C41" s="6"/>
      <c r="D41" s="6"/>
      <c r="E41" s="8"/>
      <c r="F41" s="8" t="str">
        <f t="shared" si="0"/>
        <v/>
      </c>
      <c r="G41" s="13" t="str">
        <f t="shared" si="1"/>
        <v/>
      </c>
      <c r="H41" s="6"/>
    </row>
    <row r="42" spans="1:8" x14ac:dyDescent="0.25">
      <c r="A42" s="13" t="s">
        <v>68</v>
      </c>
      <c r="B42" s="13"/>
      <c r="C42" s="6"/>
      <c r="D42" s="6"/>
      <c r="E42" s="8"/>
      <c r="F42" s="8" t="str">
        <f t="shared" si="0"/>
        <v/>
      </c>
      <c r="G42" s="13" t="str">
        <f t="shared" si="1"/>
        <v/>
      </c>
      <c r="H42" s="6"/>
    </row>
    <row r="43" spans="1:8" x14ac:dyDescent="0.25">
      <c r="A43" s="13" t="s">
        <v>69</v>
      </c>
      <c r="B43" s="13"/>
      <c r="C43" s="6"/>
      <c r="D43" s="6"/>
      <c r="E43" s="8"/>
      <c r="F43" s="8" t="str">
        <f t="shared" si="0"/>
        <v/>
      </c>
      <c r="G43" s="13" t="str">
        <f t="shared" si="1"/>
        <v/>
      </c>
      <c r="H43" s="6"/>
    </row>
    <row r="44" spans="1:8" x14ac:dyDescent="0.25">
      <c r="A44" s="13" t="s">
        <v>70</v>
      </c>
      <c r="B44" s="13"/>
      <c r="C44" s="6"/>
      <c r="D44" s="6"/>
      <c r="E44" s="8"/>
      <c r="F44" s="8" t="str">
        <f t="shared" si="0"/>
        <v/>
      </c>
      <c r="G44" s="13" t="str">
        <f t="shared" si="1"/>
        <v/>
      </c>
      <c r="H44" s="6"/>
    </row>
    <row r="45" spans="1:8" x14ac:dyDescent="0.25">
      <c r="A45" s="13" t="s">
        <v>71</v>
      </c>
      <c r="B45" s="13"/>
      <c r="C45" s="6"/>
      <c r="D45" s="6"/>
      <c r="E45" s="8"/>
      <c r="F45" s="8" t="str">
        <f t="shared" si="0"/>
        <v/>
      </c>
      <c r="G45" s="13" t="str">
        <f t="shared" si="1"/>
        <v/>
      </c>
      <c r="H45" s="6"/>
    </row>
    <row r="46" spans="1:8" x14ac:dyDescent="0.25">
      <c r="A46" s="13" t="s">
        <v>72</v>
      </c>
      <c r="B46" s="13"/>
      <c r="C46" s="6"/>
      <c r="D46" s="6"/>
      <c r="E46" s="8"/>
      <c r="F46" s="8" t="str">
        <f t="shared" si="0"/>
        <v/>
      </c>
      <c r="G46" s="13" t="str">
        <f t="shared" si="1"/>
        <v/>
      </c>
      <c r="H46" s="6"/>
    </row>
    <row r="47" spans="1:8" x14ac:dyDescent="0.25">
      <c r="A47" s="13" t="s">
        <v>73</v>
      </c>
      <c r="B47" s="13"/>
      <c r="C47" s="6"/>
      <c r="D47" s="6"/>
      <c r="E47" s="8"/>
      <c r="F47" s="8" t="str">
        <f t="shared" si="0"/>
        <v/>
      </c>
      <c r="G47" s="13" t="str">
        <f t="shared" si="1"/>
        <v/>
      </c>
      <c r="H47" s="6"/>
    </row>
    <row r="48" spans="1:8" x14ac:dyDescent="0.25">
      <c r="A48" s="13" t="s">
        <v>74</v>
      </c>
      <c r="B48" s="13"/>
      <c r="C48" s="6"/>
      <c r="D48" s="6"/>
      <c r="E48" s="8"/>
      <c r="F48" s="8" t="str">
        <f t="shared" si="0"/>
        <v/>
      </c>
      <c r="G48" s="13" t="str">
        <f t="shared" si="1"/>
        <v/>
      </c>
      <c r="H48" s="6"/>
    </row>
    <row r="49" spans="1:8" x14ac:dyDescent="0.25">
      <c r="A49" s="13" t="s">
        <v>75</v>
      </c>
      <c r="B49" s="13"/>
      <c r="C49" s="6"/>
      <c r="D49" s="6"/>
      <c r="E49" s="8"/>
      <c r="F49" s="8" t="str">
        <f t="shared" si="0"/>
        <v/>
      </c>
      <c r="G49" s="13" t="str">
        <f t="shared" si="1"/>
        <v/>
      </c>
      <c r="H49" s="6"/>
    </row>
    <row r="50" spans="1:8" x14ac:dyDescent="0.25">
      <c r="A50" s="13" t="s">
        <v>76</v>
      </c>
      <c r="B50" s="13"/>
      <c r="C50" s="6"/>
      <c r="D50" s="6"/>
      <c r="E50" s="8"/>
      <c r="F50" s="8" t="str">
        <f t="shared" si="0"/>
        <v/>
      </c>
      <c r="G50" s="13" t="str">
        <f t="shared" si="1"/>
        <v/>
      </c>
      <c r="H50" s="6"/>
    </row>
    <row r="51" spans="1:8" x14ac:dyDescent="0.25">
      <c r="A51" s="13" t="s">
        <v>77</v>
      </c>
      <c r="B51" s="13"/>
      <c r="C51" s="6"/>
      <c r="D51" s="6"/>
      <c r="E51" s="8"/>
      <c r="F51" s="8" t="str">
        <f t="shared" si="0"/>
        <v/>
      </c>
      <c r="G51" s="13" t="str">
        <f t="shared" si="1"/>
        <v/>
      </c>
      <c r="H51" s="6"/>
    </row>
    <row r="52" spans="1:8" x14ac:dyDescent="0.25">
      <c r="A52" s="13" t="s">
        <v>78</v>
      </c>
      <c r="B52" s="13"/>
      <c r="C52" s="6"/>
      <c r="D52" s="6"/>
      <c r="E52" s="8"/>
      <c r="F52" s="8" t="str">
        <f t="shared" si="0"/>
        <v/>
      </c>
      <c r="G52" s="13" t="str">
        <f t="shared" si="1"/>
        <v/>
      </c>
      <c r="H52" s="6"/>
    </row>
    <row r="53" spans="1:8" x14ac:dyDescent="0.25">
      <c r="A53" s="13" t="s">
        <v>79</v>
      </c>
      <c r="B53" s="13"/>
      <c r="C53" s="6"/>
      <c r="D53" s="6"/>
      <c r="E53" s="8"/>
      <c r="F53" s="8" t="str">
        <f t="shared" si="0"/>
        <v/>
      </c>
      <c r="G53" s="13" t="str">
        <f t="shared" si="1"/>
        <v/>
      </c>
      <c r="H53" s="6"/>
    </row>
    <row r="54" spans="1:8" x14ac:dyDescent="0.25">
      <c r="A54" s="13" t="s">
        <v>80</v>
      </c>
      <c r="B54" s="13"/>
      <c r="C54" s="6"/>
      <c r="D54" s="6"/>
      <c r="E54" s="8"/>
      <c r="F54" s="8" t="str">
        <f t="shared" si="0"/>
        <v/>
      </c>
      <c r="G54" s="13" t="str">
        <f t="shared" si="1"/>
        <v/>
      </c>
      <c r="H54" s="6"/>
    </row>
    <row r="55" spans="1:8" x14ac:dyDescent="0.25">
      <c r="A55" s="13" t="s">
        <v>81</v>
      </c>
      <c r="B55" s="13"/>
      <c r="C55" s="6"/>
      <c r="D55" s="6"/>
      <c r="E55" s="8"/>
      <c r="F55" s="8" t="str">
        <f t="shared" si="0"/>
        <v/>
      </c>
      <c r="G55" s="13" t="str">
        <f t="shared" si="1"/>
        <v/>
      </c>
      <c r="H55" s="6"/>
    </row>
    <row r="56" spans="1:8" x14ac:dyDescent="0.25">
      <c r="A56" s="13" t="s">
        <v>82</v>
      </c>
      <c r="B56" s="13"/>
      <c r="C56" s="6"/>
      <c r="D56" s="6"/>
      <c r="E56" s="8"/>
      <c r="F56" s="8" t="str">
        <f t="shared" si="0"/>
        <v/>
      </c>
      <c r="G56" s="13" t="str">
        <f t="shared" si="1"/>
        <v/>
      </c>
      <c r="H56" s="6"/>
    </row>
    <row r="57" spans="1:8" x14ac:dyDescent="0.25">
      <c r="A57" s="13" t="s">
        <v>83</v>
      </c>
      <c r="B57" s="13"/>
      <c r="C57" s="6"/>
      <c r="D57" s="6"/>
      <c r="E57" s="8"/>
      <c r="F57" s="8" t="str">
        <f t="shared" si="0"/>
        <v/>
      </c>
      <c r="G57" s="13" t="str">
        <f t="shared" si="1"/>
        <v/>
      </c>
      <c r="H57" s="6"/>
    </row>
    <row r="58" spans="1:8" x14ac:dyDescent="0.25">
      <c r="A58" s="13" t="s">
        <v>84</v>
      </c>
      <c r="B58" s="13"/>
      <c r="C58" s="6"/>
      <c r="D58" s="6"/>
      <c r="E58" s="8"/>
      <c r="F58" s="8" t="str">
        <f t="shared" si="0"/>
        <v/>
      </c>
      <c r="G58" s="13" t="str">
        <f t="shared" si="1"/>
        <v/>
      </c>
      <c r="H58" s="6"/>
    </row>
    <row r="59" spans="1:8" x14ac:dyDescent="0.25">
      <c r="A59" s="13" t="s">
        <v>85</v>
      </c>
      <c r="B59" s="13"/>
      <c r="C59" s="6"/>
      <c r="D59" s="6"/>
      <c r="E59" s="8"/>
      <c r="F59" s="8" t="str">
        <f t="shared" si="0"/>
        <v/>
      </c>
      <c r="G59" s="13" t="str">
        <f t="shared" si="1"/>
        <v/>
      </c>
      <c r="H59" s="6"/>
    </row>
    <row r="60" spans="1:8" x14ac:dyDescent="0.25">
      <c r="A60" s="13" t="s">
        <v>86</v>
      </c>
      <c r="B60" s="13"/>
      <c r="C60" s="6"/>
      <c r="D60" s="6"/>
      <c r="E60" s="8"/>
      <c r="F60" s="8" t="str">
        <f t="shared" si="0"/>
        <v/>
      </c>
      <c r="G60" s="13" t="str">
        <f t="shared" si="1"/>
        <v/>
      </c>
      <c r="H60" s="6"/>
    </row>
    <row r="61" spans="1:8" x14ac:dyDescent="0.25">
      <c r="A61" s="13" t="s">
        <v>87</v>
      </c>
      <c r="B61" s="13"/>
      <c r="C61" s="6"/>
      <c r="D61" s="6"/>
      <c r="E61" s="8"/>
      <c r="F61" s="8" t="str">
        <f t="shared" si="0"/>
        <v/>
      </c>
      <c r="G61" s="13" t="str">
        <f t="shared" si="1"/>
        <v/>
      </c>
      <c r="H61" s="6"/>
    </row>
    <row r="62" spans="1:8" x14ac:dyDescent="0.25">
      <c r="A62" s="13" t="s">
        <v>88</v>
      </c>
      <c r="B62" s="13"/>
      <c r="C62" s="6"/>
      <c r="D62" s="6"/>
      <c r="E62" s="8"/>
      <c r="F62" s="8" t="str">
        <f t="shared" si="0"/>
        <v/>
      </c>
      <c r="G62" s="13" t="str">
        <f t="shared" si="1"/>
        <v/>
      </c>
      <c r="H62" s="6"/>
    </row>
    <row r="63" spans="1:8" x14ac:dyDescent="0.25">
      <c r="A63" s="13" t="s">
        <v>89</v>
      </c>
      <c r="B63" s="13"/>
      <c r="C63" s="6"/>
      <c r="D63" s="6"/>
      <c r="E63" s="8"/>
      <c r="F63" s="8" t="str">
        <f t="shared" si="0"/>
        <v/>
      </c>
      <c r="G63" s="13" t="str">
        <f t="shared" si="1"/>
        <v/>
      </c>
      <c r="H63" s="6"/>
    </row>
    <row r="64" spans="1:8" x14ac:dyDescent="0.25">
      <c r="A64" s="13" t="s">
        <v>90</v>
      </c>
      <c r="B64" s="13"/>
      <c r="C64" s="6"/>
      <c r="D64" s="6"/>
      <c r="E64" s="8"/>
      <c r="F64" s="8" t="str">
        <f t="shared" si="0"/>
        <v/>
      </c>
      <c r="G64" s="13" t="str">
        <f t="shared" si="1"/>
        <v/>
      </c>
      <c r="H64" s="6"/>
    </row>
    <row r="65" spans="1:8" x14ac:dyDescent="0.25">
      <c r="A65" s="13" t="s">
        <v>91</v>
      </c>
      <c r="B65" s="13"/>
      <c r="C65" s="6"/>
      <c r="D65" s="6"/>
      <c r="E65" s="8"/>
      <c r="F65" s="8" t="str">
        <f t="shared" si="0"/>
        <v/>
      </c>
      <c r="G65" s="13" t="str">
        <f t="shared" si="1"/>
        <v/>
      </c>
      <c r="H65" s="6"/>
    </row>
    <row r="66" spans="1:8" x14ac:dyDescent="0.25">
      <c r="A66" s="13" t="s">
        <v>92</v>
      </c>
      <c r="B66" s="13"/>
      <c r="C66" s="6"/>
      <c r="D66" s="6"/>
      <c r="E66" s="8"/>
      <c r="F66" s="8" t="str">
        <f t="shared" si="0"/>
        <v/>
      </c>
      <c r="G66" s="13" t="str">
        <f t="shared" si="1"/>
        <v/>
      </c>
      <c r="H66" s="6"/>
    </row>
    <row r="67" spans="1:8" x14ac:dyDescent="0.25">
      <c r="A67" s="13" t="s">
        <v>93</v>
      </c>
      <c r="B67" s="13"/>
      <c r="C67" s="6"/>
      <c r="D67" s="6"/>
      <c r="E67" s="8"/>
      <c r="F67" s="8" t="str">
        <f t="shared" si="0"/>
        <v/>
      </c>
      <c r="G67" s="13" t="str">
        <f t="shared" si="1"/>
        <v/>
      </c>
      <c r="H67" s="6"/>
    </row>
    <row r="68" spans="1:8" x14ac:dyDescent="0.25">
      <c r="A68" s="13" t="s">
        <v>94</v>
      </c>
      <c r="B68" s="13"/>
      <c r="C68" s="6"/>
      <c r="D68" s="6"/>
      <c r="E68" s="8"/>
      <c r="F68" s="8" t="str">
        <f t="shared" si="0"/>
        <v/>
      </c>
      <c r="G68" s="13" t="str">
        <f t="shared" si="1"/>
        <v/>
      </c>
      <c r="H68" s="6"/>
    </row>
    <row r="69" spans="1:8" x14ac:dyDescent="0.25">
      <c r="A69" s="13" t="s">
        <v>95</v>
      </c>
      <c r="B69" s="13"/>
      <c r="C69" s="6"/>
      <c r="D69" s="6"/>
      <c r="E69" s="8"/>
      <c r="F69" s="8" t="str">
        <f t="shared" si="0"/>
        <v/>
      </c>
      <c r="G69" s="13" t="str">
        <f t="shared" si="1"/>
        <v/>
      </c>
      <c r="H69" s="6"/>
    </row>
    <row r="70" spans="1:8" x14ac:dyDescent="0.25">
      <c r="A70" s="13" t="s">
        <v>96</v>
      </c>
      <c r="B70" s="13"/>
      <c r="C70" s="6"/>
      <c r="D70" s="6"/>
      <c r="E70" s="8"/>
      <c r="F70" s="8" t="str">
        <f t="shared" si="0"/>
        <v/>
      </c>
      <c r="G70" s="13" t="str">
        <f t="shared" si="1"/>
        <v/>
      </c>
      <c r="H70" s="6"/>
    </row>
    <row r="71" spans="1:8" x14ac:dyDescent="0.25">
      <c r="A71" s="13" t="s">
        <v>97</v>
      </c>
      <c r="B71" s="13"/>
      <c r="C71" s="6"/>
      <c r="D71" s="6"/>
      <c r="E71" s="8"/>
      <c r="F71" s="8" t="str">
        <f t="shared" ref="F71:F134" si="2">IF(OR(E71="",E71=0), "", IF(ISNUMBER(F70), F70+E71, E71))</f>
        <v/>
      </c>
      <c r="G71" s="13" t="str">
        <f t="shared" ref="G71:G134" si="3">IF(OR(E71="",E71=0), "", "✓ Received &amp; Logged")</f>
        <v/>
      </c>
      <c r="H71" s="6"/>
    </row>
    <row r="72" spans="1:8" x14ac:dyDescent="0.25">
      <c r="A72" s="13" t="s">
        <v>98</v>
      </c>
      <c r="B72" s="13"/>
      <c r="C72" s="6"/>
      <c r="D72" s="6"/>
      <c r="E72" s="8"/>
      <c r="F72" s="8" t="str">
        <f t="shared" si="2"/>
        <v/>
      </c>
      <c r="G72" s="13" t="str">
        <f t="shared" si="3"/>
        <v/>
      </c>
      <c r="H72" s="6"/>
    </row>
    <row r="73" spans="1:8" x14ac:dyDescent="0.25">
      <c r="A73" s="13" t="s">
        <v>99</v>
      </c>
      <c r="B73" s="13"/>
      <c r="C73" s="6"/>
      <c r="D73" s="6"/>
      <c r="E73" s="8"/>
      <c r="F73" s="8" t="str">
        <f t="shared" si="2"/>
        <v/>
      </c>
      <c r="G73" s="13" t="str">
        <f t="shared" si="3"/>
        <v/>
      </c>
      <c r="H73" s="6"/>
    </row>
    <row r="74" spans="1:8" x14ac:dyDescent="0.25">
      <c r="A74" s="13" t="s">
        <v>100</v>
      </c>
      <c r="B74" s="13"/>
      <c r="C74" s="6"/>
      <c r="D74" s="6"/>
      <c r="E74" s="8"/>
      <c r="F74" s="8" t="str">
        <f t="shared" si="2"/>
        <v/>
      </c>
      <c r="G74" s="13" t="str">
        <f t="shared" si="3"/>
        <v/>
      </c>
      <c r="H74" s="6"/>
    </row>
    <row r="75" spans="1:8" x14ac:dyDescent="0.25">
      <c r="A75" s="13" t="s">
        <v>101</v>
      </c>
      <c r="B75" s="13"/>
      <c r="C75" s="6"/>
      <c r="D75" s="6"/>
      <c r="E75" s="8"/>
      <c r="F75" s="8" t="str">
        <f t="shared" si="2"/>
        <v/>
      </c>
      <c r="G75" s="13" t="str">
        <f t="shared" si="3"/>
        <v/>
      </c>
      <c r="H75" s="6"/>
    </row>
    <row r="76" spans="1:8" x14ac:dyDescent="0.25">
      <c r="A76" s="13" t="s">
        <v>102</v>
      </c>
      <c r="B76" s="13"/>
      <c r="C76" s="6"/>
      <c r="D76" s="6"/>
      <c r="E76" s="8"/>
      <c r="F76" s="8" t="str">
        <f t="shared" si="2"/>
        <v/>
      </c>
      <c r="G76" s="13" t="str">
        <f t="shared" si="3"/>
        <v/>
      </c>
      <c r="H76" s="6"/>
    </row>
    <row r="77" spans="1:8" x14ac:dyDescent="0.25">
      <c r="A77" s="13" t="s">
        <v>103</v>
      </c>
      <c r="B77" s="13"/>
      <c r="C77" s="6"/>
      <c r="D77" s="6"/>
      <c r="E77" s="8"/>
      <c r="F77" s="8" t="str">
        <f t="shared" si="2"/>
        <v/>
      </c>
      <c r="G77" s="13" t="str">
        <f t="shared" si="3"/>
        <v/>
      </c>
      <c r="H77" s="6"/>
    </row>
    <row r="78" spans="1:8" x14ac:dyDescent="0.25">
      <c r="A78" s="13" t="s">
        <v>104</v>
      </c>
      <c r="B78" s="13"/>
      <c r="C78" s="6"/>
      <c r="D78" s="6"/>
      <c r="E78" s="8"/>
      <c r="F78" s="8" t="str">
        <f t="shared" si="2"/>
        <v/>
      </c>
      <c r="G78" s="13" t="str">
        <f t="shared" si="3"/>
        <v/>
      </c>
      <c r="H78" s="6"/>
    </row>
    <row r="79" spans="1:8" x14ac:dyDescent="0.25">
      <c r="A79" s="13" t="s">
        <v>105</v>
      </c>
      <c r="B79" s="13"/>
      <c r="C79" s="6"/>
      <c r="D79" s="6"/>
      <c r="E79" s="8"/>
      <c r="F79" s="8" t="str">
        <f t="shared" si="2"/>
        <v/>
      </c>
      <c r="G79" s="13" t="str">
        <f t="shared" si="3"/>
        <v/>
      </c>
      <c r="H79" s="6"/>
    </row>
    <row r="80" spans="1:8" x14ac:dyDescent="0.25">
      <c r="A80" s="13" t="s">
        <v>106</v>
      </c>
      <c r="B80" s="13"/>
      <c r="C80" s="6"/>
      <c r="D80" s="6"/>
      <c r="E80" s="8"/>
      <c r="F80" s="8" t="str">
        <f t="shared" si="2"/>
        <v/>
      </c>
      <c r="G80" s="13" t="str">
        <f t="shared" si="3"/>
        <v/>
      </c>
      <c r="H80" s="6"/>
    </row>
    <row r="81" spans="1:8" x14ac:dyDescent="0.25">
      <c r="A81" s="13" t="s">
        <v>107</v>
      </c>
      <c r="B81" s="13"/>
      <c r="C81" s="6"/>
      <c r="D81" s="6"/>
      <c r="E81" s="8"/>
      <c r="F81" s="8" t="str">
        <f t="shared" si="2"/>
        <v/>
      </c>
      <c r="G81" s="13" t="str">
        <f t="shared" si="3"/>
        <v/>
      </c>
      <c r="H81" s="6"/>
    </row>
    <row r="82" spans="1:8" x14ac:dyDescent="0.25">
      <c r="A82" s="13" t="s">
        <v>108</v>
      </c>
      <c r="B82" s="13"/>
      <c r="C82" s="6"/>
      <c r="D82" s="6"/>
      <c r="E82" s="8"/>
      <c r="F82" s="8" t="str">
        <f t="shared" si="2"/>
        <v/>
      </c>
      <c r="G82" s="13" t="str">
        <f t="shared" si="3"/>
        <v/>
      </c>
      <c r="H82" s="6"/>
    </row>
    <row r="83" spans="1:8" x14ac:dyDescent="0.25">
      <c r="A83" s="13" t="s">
        <v>109</v>
      </c>
      <c r="B83" s="13"/>
      <c r="C83" s="6"/>
      <c r="D83" s="6"/>
      <c r="E83" s="8"/>
      <c r="F83" s="8" t="str">
        <f t="shared" si="2"/>
        <v/>
      </c>
      <c r="G83" s="13" t="str">
        <f t="shared" si="3"/>
        <v/>
      </c>
      <c r="H83" s="6"/>
    </row>
    <row r="84" spans="1:8" x14ac:dyDescent="0.25">
      <c r="A84" s="13" t="s">
        <v>110</v>
      </c>
      <c r="B84" s="13"/>
      <c r="C84" s="6"/>
      <c r="D84" s="6"/>
      <c r="E84" s="8"/>
      <c r="F84" s="8" t="str">
        <f t="shared" si="2"/>
        <v/>
      </c>
      <c r="G84" s="13" t="str">
        <f t="shared" si="3"/>
        <v/>
      </c>
      <c r="H84" s="6"/>
    </row>
    <row r="85" spans="1:8" x14ac:dyDescent="0.25">
      <c r="A85" s="13" t="s">
        <v>111</v>
      </c>
      <c r="B85" s="13"/>
      <c r="C85" s="6"/>
      <c r="D85" s="6"/>
      <c r="E85" s="8"/>
      <c r="F85" s="8" t="str">
        <f t="shared" si="2"/>
        <v/>
      </c>
      <c r="G85" s="13" t="str">
        <f t="shared" si="3"/>
        <v/>
      </c>
      <c r="H85" s="6"/>
    </row>
    <row r="86" spans="1:8" x14ac:dyDescent="0.25">
      <c r="A86" s="13" t="s">
        <v>112</v>
      </c>
      <c r="B86" s="13"/>
      <c r="C86" s="6"/>
      <c r="D86" s="6"/>
      <c r="E86" s="8"/>
      <c r="F86" s="8" t="str">
        <f t="shared" si="2"/>
        <v/>
      </c>
      <c r="G86" s="13" t="str">
        <f t="shared" si="3"/>
        <v/>
      </c>
      <c r="H86" s="6"/>
    </row>
    <row r="87" spans="1:8" x14ac:dyDescent="0.25">
      <c r="A87" s="13" t="s">
        <v>113</v>
      </c>
      <c r="B87" s="13"/>
      <c r="C87" s="6"/>
      <c r="D87" s="6"/>
      <c r="E87" s="8"/>
      <c r="F87" s="8" t="str">
        <f t="shared" si="2"/>
        <v/>
      </c>
      <c r="G87" s="13" t="str">
        <f t="shared" si="3"/>
        <v/>
      </c>
      <c r="H87" s="6"/>
    </row>
    <row r="88" spans="1:8" x14ac:dyDescent="0.25">
      <c r="A88" s="13" t="s">
        <v>114</v>
      </c>
      <c r="B88" s="13"/>
      <c r="C88" s="6"/>
      <c r="D88" s="6"/>
      <c r="E88" s="8"/>
      <c r="F88" s="8" t="str">
        <f t="shared" si="2"/>
        <v/>
      </c>
      <c r="G88" s="13" t="str">
        <f t="shared" si="3"/>
        <v/>
      </c>
      <c r="H88" s="6"/>
    </row>
    <row r="89" spans="1:8" x14ac:dyDescent="0.25">
      <c r="A89" s="13" t="s">
        <v>115</v>
      </c>
      <c r="B89" s="13"/>
      <c r="C89" s="6"/>
      <c r="D89" s="6"/>
      <c r="E89" s="8"/>
      <c r="F89" s="8" t="str">
        <f t="shared" si="2"/>
        <v/>
      </c>
      <c r="G89" s="13" t="str">
        <f t="shared" si="3"/>
        <v/>
      </c>
      <c r="H89" s="6"/>
    </row>
    <row r="90" spans="1:8" x14ac:dyDescent="0.25">
      <c r="A90" s="13" t="s">
        <v>116</v>
      </c>
      <c r="B90" s="13"/>
      <c r="C90" s="6"/>
      <c r="D90" s="6"/>
      <c r="E90" s="8"/>
      <c r="F90" s="8" t="str">
        <f t="shared" si="2"/>
        <v/>
      </c>
      <c r="G90" s="13" t="str">
        <f t="shared" si="3"/>
        <v/>
      </c>
      <c r="H90" s="6"/>
    </row>
    <row r="91" spans="1:8" x14ac:dyDescent="0.25">
      <c r="A91" s="13" t="s">
        <v>117</v>
      </c>
      <c r="B91" s="13"/>
      <c r="C91" s="6"/>
      <c r="D91" s="6"/>
      <c r="E91" s="8"/>
      <c r="F91" s="8" t="str">
        <f t="shared" si="2"/>
        <v/>
      </c>
      <c r="G91" s="13" t="str">
        <f t="shared" si="3"/>
        <v/>
      </c>
      <c r="H91" s="6"/>
    </row>
    <row r="92" spans="1:8" x14ac:dyDescent="0.25">
      <c r="A92" s="13" t="s">
        <v>118</v>
      </c>
      <c r="B92" s="13"/>
      <c r="C92" s="6"/>
      <c r="D92" s="6"/>
      <c r="E92" s="8"/>
      <c r="F92" s="8" t="str">
        <f t="shared" si="2"/>
        <v/>
      </c>
      <c r="G92" s="13" t="str">
        <f t="shared" si="3"/>
        <v/>
      </c>
      <c r="H92" s="6"/>
    </row>
    <row r="93" spans="1:8" x14ac:dyDescent="0.25">
      <c r="A93" s="13" t="s">
        <v>119</v>
      </c>
      <c r="B93" s="13"/>
      <c r="C93" s="6"/>
      <c r="D93" s="6"/>
      <c r="E93" s="8"/>
      <c r="F93" s="8" t="str">
        <f t="shared" si="2"/>
        <v/>
      </c>
      <c r="G93" s="13" t="str">
        <f t="shared" si="3"/>
        <v/>
      </c>
      <c r="H93" s="6"/>
    </row>
    <row r="94" spans="1:8" x14ac:dyDescent="0.25">
      <c r="A94" s="13" t="s">
        <v>120</v>
      </c>
      <c r="B94" s="13"/>
      <c r="C94" s="6"/>
      <c r="D94" s="6"/>
      <c r="E94" s="8"/>
      <c r="F94" s="8" t="str">
        <f t="shared" si="2"/>
        <v/>
      </c>
      <c r="G94" s="13" t="str">
        <f t="shared" si="3"/>
        <v/>
      </c>
      <c r="H94" s="6"/>
    </row>
    <row r="95" spans="1:8" x14ac:dyDescent="0.25">
      <c r="A95" s="13" t="s">
        <v>121</v>
      </c>
      <c r="B95" s="13"/>
      <c r="C95" s="6"/>
      <c r="D95" s="6"/>
      <c r="E95" s="8"/>
      <c r="F95" s="8" t="str">
        <f t="shared" si="2"/>
        <v/>
      </c>
      <c r="G95" s="13" t="str">
        <f t="shared" si="3"/>
        <v/>
      </c>
      <c r="H95" s="6"/>
    </row>
    <row r="96" spans="1:8" x14ac:dyDescent="0.25">
      <c r="A96" s="13" t="s">
        <v>122</v>
      </c>
      <c r="B96" s="13"/>
      <c r="C96" s="6"/>
      <c r="D96" s="6"/>
      <c r="E96" s="8"/>
      <c r="F96" s="8" t="str">
        <f t="shared" si="2"/>
        <v/>
      </c>
      <c r="G96" s="13" t="str">
        <f t="shared" si="3"/>
        <v/>
      </c>
      <c r="H96" s="6"/>
    </row>
    <row r="97" spans="1:8" x14ac:dyDescent="0.25">
      <c r="A97" s="13" t="s">
        <v>123</v>
      </c>
      <c r="B97" s="13"/>
      <c r="C97" s="6"/>
      <c r="D97" s="6"/>
      <c r="E97" s="8"/>
      <c r="F97" s="8" t="str">
        <f t="shared" si="2"/>
        <v/>
      </c>
      <c r="G97" s="13" t="str">
        <f t="shared" si="3"/>
        <v/>
      </c>
      <c r="H97" s="6"/>
    </row>
    <row r="98" spans="1:8" x14ac:dyDescent="0.25">
      <c r="A98" s="13" t="s">
        <v>124</v>
      </c>
      <c r="B98" s="13"/>
      <c r="C98" s="6"/>
      <c r="D98" s="6"/>
      <c r="E98" s="8"/>
      <c r="F98" s="8" t="str">
        <f t="shared" si="2"/>
        <v/>
      </c>
      <c r="G98" s="13" t="str">
        <f t="shared" si="3"/>
        <v/>
      </c>
      <c r="H98" s="6"/>
    </row>
    <row r="99" spans="1:8" x14ac:dyDescent="0.25">
      <c r="A99" s="13" t="s">
        <v>125</v>
      </c>
      <c r="B99" s="13"/>
      <c r="C99" s="6"/>
      <c r="D99" s="6"/>
      <c r="E99" s="8"/>
      <c r="F99" s="8" t="str">
        <f t="shared" si="2"/>
        <v/>
      </c>
      <c r="G99" s="13" t="str">
        <f t="shared" si="3"/>
        <v/>
      </c>
      <c r="H99" s="6"/>
    </row>
    <row r="100" spans="1:8" x14ac:dyDescent="0.25">
      <c r="A100" s="13" t="s">
        <v>126</v>
      </c>
      <c r="B100" s="13"/>
      <c r="C100" s="6"/>
      <c r="D100" s="6"/>
      <c r="E100" s="8"/>
      <c r="F100" s="8" t="str">
        <f t="shared" si="2"/>
        <v/>
      </c>
      <c r="G100" s="13" t="str">
        <f t="shared" si="3"/>
        <v/>
      </c>
      <c r="H100" s="6"/>
    </row>
    <row r="101" spans="1:8" x14ac:dyDescent="0.25">
      <c r="A101" s="13" t="s">
        <v>127</v>
      </c>
      <c r="B101" s="13"/>
      <c r="C101" s="6"/>
      <c r="D101" s="6"/>
      <c r="E101" s="8"/>
      <c r="F101" s="8" t="str">
        <f t="shared" si="2"/>
        <v/>
      </c>
      <c r="G101" s="13" t="str">
        <f t="shared" si="3"/>
        <v/>
      </c>
      <c r="H101" s="6"/>
    </row>
    <row r="102" spans="1:8" x14ac:dyDescent="0.25">
      <c r="A102" s="13" t="s">
        <v>128</v>
      </c>
      <c r="B102" s="13"/>
      <c r="C102" s="6"/>
      <c r="D102" s="6"/>
      <c r="E102" s="8"/>
      <c r="F102" s="8" t="str">
        <f t="shared" si="2"/>
        <v/>
      </c>
      <c r="G102" s="13" t="str">
        <f t="shared" si="3"/>
        <v/>
      </c>
      <c r="H102" s="6"/>
    </row>
    <row r="103" spans="1:8" x14ac:dyDescent="0.25">
      <c r="A103" s="13" t="s">
        <v>129</v>
      </c>
      <c r="B103" s="13"/>
      <c r="C103" s="6"/>
      <c r="D103" s="6"/>
      <c r="E103" s="8"/>
      <c r="F103" s="8" t="str">
        <f t="shared" si="2"/>
        <v/>
      </c>
      <c r="G103" s="13" t="str">
        <f t="shared" si="3"/>
        <v/>
      </c>
      <c r="H103" s="6"/>
    </row>
    <row r="104" spans="1:8" x14ac:dyDescent="0.25">
      <c r="A104" s="13" t="s">
        <v>130</v>
      </c>
      <c r="B104" s="13"/>
      <c r="C104" s="6"/>
      <c r="D104" s="6"/>
      <c r="E104" s="8"/>
      <c r="F104" s="8" t="str">
        <f t="shared" si="2"/>
        <v/>
      </c>
      <c r="G104" s="13" t="str">
        <f t="shared" si="3"/>
        <v/>
      </c>
      <c r="H104" s="6"/>
    </row>
    <row r="105" spans="1:8" x14ac:dyDescent="0.25">
      <c r="A105" s="13" t="s">
        <v>131</v>
      </c>
      <c r="B105" s="13"/>
      <c r="C105" s="6"/>
      <c r="D105" s="6"/>
      <c r="E105" s="8"/>
      <c r="F105" s="8" t="str">
        <f t="shared" si="2"/>
        <v/>
      </c>
      <c r="G105" s="13" t="str">
        <f t="shared" si="3"/>
        <v/>
      </c>
      <c r="H105" s="6"/>
    </row>
    <row r="106" spans="1:8" x14ac:dyDescent="0.25">
      <c r="A106" s="13" t="s">
        <v>132</v>
      </c>
      <c r="B106" s="13"/>
      <c r="C106" s="6"/>
      <c r="D106" s="6"/>
      <c r="E106" s="8"/>
      <c r="F106" s="8" t="str">
        <f t="shared" si="2"/>
        <v/>
      </c>
      <c r="G106" s="13" t="str">
        <f t="shared" si="3"/>
        <v/>
      </c>
      <c r="H106" s="6"/>
    </row>
    <row r="107" spans="1:8" x14ac:dyDescent="0.25">
      <c r="A107" s="13" t="s">
        <v>133</v>
      </c>
      <c r="B107" s="13"/>
      <c r="C107" s="6"/>
      <c r="D107" s="6"/>
      <c r="E107" s="8"/>
      <c r="F107" s="8" t="str">
        <f t="shared" si="2"/>
        <v/>
      </c>
      <c r="G107" s="13" t="str">
        <f t="shared" si="3"/>
        <v/>
      </c>
      <c r="H107" s="6"/>
    </row>
    <row r="108" spans="1:8" x14ac:dyDescent="0.25">
      <c r="A108" s="13" t="s">
        <v>134</v>
      </c>
      <c r="B108" s="13"/>
      <c r="C108" s="6"/>
      <c r="D108" s="6"/>
      <c r="E108" s="8"/>
      <c r="F108" s="8" t="str">
        <f t="shared" si="2"/>
        <v/>
      </c>
      <c r="G108" s="13" t="str">
        <f t="shared" si="3"/>
        <v/>
      </c>
      <c r="H108" s="6"/>
    </row>
    <row r="109" spans="1:8" x14ac:dyDescent="0.25">
      <c r="A109" s="13" t="s">
        <v>135</v>
      </c>
      <c r="B109" s="13"/>
      <c r="C109" s="6"/>
      <c r="D109" s="6"/>
      <c r="E109" s="8"/>
      <c r="F109" s="8" t="str">
        <f t="shared" si="2"/>
        <v/>
      </c>
      <c r="G109" s="13" t="str">
        <f t="shared" si="3"/>
        <v/>
      </c>
      <c r="H109" s="6"/>
    </row>
    <row r="110" spans="1:8" x14ac:dyDescent="0.25">
      <c r="A110" s="13" t="s">
        <v>136</v>
      </c>
      <c r="B110" s="13"/>
      <c r="C110" s="6"/>
      <c r="D110" s="6"/>
      <c r="E110" s="8"/>
      <c r="F110" s="8" t="str">
        <f t="shared" si="2"/>
        <v/>
      </c>
      <c r="G110" s="13" t="str">
        <f t="shared" si="3"/>
        <v/>
      </c>
      <c r="H110" s="6"/>
    </row>
    <row r="111" spans="1:8" x14ac:dyDescent="0.25">
      <c r="A111" s="13" t="s">
        <v>137</v>
      </c>
      <c r="B111" s="13"/>
      <c r="C111" s="6"/>
      <c r="D111" s="6"/>
      <c r="E111" s="8"/>
      <c r="F111" s="8" t="str">
        <f t="shared" si="2"/>
        <v/>
      </c>
      <c r="G111" s="13" t="str">
        <f t="shared" si="3"/>
        <v/>
      </c>
      <c r="H111" s="6"/>
    </row>
    <row r="112" spans="1:8" x14ac:dyDescent="0.25">
      <c r="A112" s="13" t="s">
        <v>138</v>
      </c>
      <c r="B112" s="13"/>
      <c r="C112" s="6"/>
      <c r="D112" s="6"/>
      <c r="E112" s="8"/>
      <c r="F112" s="8" t="str">
        <f t="shared" si="2"/>
        <v/>
      </c>
      <c r="G112" s="13" t="str">
        <f t="shared" si="3"/>
        <v/>
      </c>
      <c r="H112" s="6"/>
    </row>
    <row r="113" spans="1:8" x14ac:dyDescent="0.25">
      <c r="A113" s="13" t="s">
        <v>139</v>
      </c>
      <c r="B113" s="13"/>
      <c r="C113" s="6"/>
      <c r="D113" s="6"/>
      <c r="E113" s="8"/>
      <c r="F113" s="8" t="str">
        <f t="shared" si="2"/>
        <v/>
      </c>
      <c r="G113" s="13" t="str">
        <f t="shared" si="3"/>
        <v/>
      </c>
      <c r="H113" s="6"/>
    </row>
    <row r="114" spans="1:8" x14ac:dyDescent="0.25">
      <c r="A114" s="13" t="s">
        <v>140</v>
      </c>
      <c r="B114" s="13"/>
      <c r="C114" s="6"/>
      <c r="D114" s="6"/>
      <c r="E114" s="8"/>
      <c r="F114" s="8" t="str">
        <f t="shared" si="2"/>
        <v/>
      </c>
      <c r="G114" s="13" t="str">
        <f t="shared" si="3"/>
        <v/>
      </c>
      <c r="H114" s="6"/>
    </row>
    <row r="115" spans="1:8" x14ac:dyDescent="0.25">
      <c r="A115" s="13" t="s">
        <v>141</v>
      </c>
      <c r="B115" s="13"/>
      <c r="C115" s="6"/>
      <c r="D115" s="6"/>
      <c r="E115" s="8"/>
      <c r="F115" s="8" t="str">
        <f t="shared" si="2"/>
        <v/>
      </c>
      <c r="G115" s="13" t="str">
        <f t="shared" si="3"/>
        <v/>
      </c>
      <c r="H115" s="6"/>
    </row>
    <row r="116" spans="1:8" x14ac:dyDescent="0.25">
      <c r="A116" s="13" t="s">
        <v>142</v>
      </c>
      <c r="B116" s="13"/>
      <c r="C116" s="6"/>
      <c r="D116" s="6"/>
      <c r="E116" s="8"/>
      <c r="F116" s="8" t="str">
        <f t="shared" si="2"/>
        <v/>
      </c>
      <c r="G116" s="13" t="str">
        <f t="shared" si="3"/>
        <v/>
      </c>
      <c r="H116" s="6"/>
    </row>
    <row r="117" spans="1:8" x14ac:dyDescent="0.25">
      <c r="A117" s="13" t="s">
        <v>143</v>
      </c>
      <c r="B117" s="13"/>
      <c r="C117" s="6"/>
      <c r="D117" s="6"/>
      <c r="E117" s="8"/>
      <c r="F117" s="8" t="str">
        <f t="shared" si="2"/>
        <v/>
      </c>
      <c r="G117" s="13" t="str">
        <f t="shared" si="3"/>
        <v/>
      </c>
      <c r="H117" s="6"/>
    </row>
    <row r="118" spans="1:8" x14ac:dyDescent="0.25">
      <c r="A118" s="13" t="s">
        <v>144</v>
      </c>
      <c r="B118" s="13"/>
      <c r="C118" s="6"/>
      <c r="D118" s="6"/>
      <c r="E118" s="8"/>
      <c r="F118" s="8" t="str">
        <f t="shared" si="2"/>
        <v/>
      </c>
      <c r="G118" s="13" t="str">
        <f t="shared" si="3"/>
        <v/>
      </c>
      <c r="H118" s="6"/>
    </row>
    <row r="119" spans="1:8" x14ac:dyDescent="0.25">
      <c r="A119" s="13" t="s">
        <v>145</v>
      </c>
      <c r="B119" s="13"/>
      <c r="C119" s="6"/>
      <c r="D119" s="6"/>
      <c r="E119" s="8"/>
      <c r="F119" s="8" t="str">
        <f t="shared" si="2"/>
        <v/>
      </c>
      <c r="G119" s="13" t="str">
        <f t="shared" si="3"/>
        <v/>
      </c>
      <c r="H119" s="6"/>
    </row>
    <row r="120" spans="1:8" x14ac:dyDescent="0.25">
      <c r="A120" s="13" t="s">
        <v>146</v>
      </c>
      <c r="B120" s="13"/>
      <c r="C120" s="6"/>
      <c r="D120" s="6"/>
      <c r="E120" s="8"/>
      <c r="F120" s="8" t="str">
        <f t="shared" si="2"/>
        <v/>
      </c>
      <c r="G120" s="13" t="str">
        <f t="shared" si="3"/>
        <v/>
      </c>
      <c r="H120" s="6"/>
    </row>
    <row r="121" spans="1:8" x14ac:dyDescent="0.25">
      <c r="A121" s="13" t="s">
        <v>147</v>
      </c>
      <c r="B121" s="13"/>
      <c r="C121" s="6"/>
      <c r="D121" s="6"/>
      <c r="E121" s="8"/>
      <c r="F121" s="8" t="str">
        <f t="shared" si="2"/>
        <v/>
      </c>
      <c r="G121" s="13" t="str">
        <f t="shared" si="3"/>
        <v/>
      </c>
      <c r="H121" s="6"/>
    </row>
    <row r="122" spans="1:8" x14ac:dyDescent="0.25">
      <c r="A122" s="13" t="s">
        <v>148</v>
      </c>
      <c r="B122" s="13"/>
      <c r="C122" s="6"/>
      <c r="D122" s="6"/>
      <c r="E122" s="8"/>
      <c r="F122" s="8" t="str">
        <f t="shared" si="2"/>
        <v/>
      </c>
      <c r="G122" s="13" t="str">
        <f t="shared" si="3"/>
        <v/>
      </c>
      <c r="H122" s="6"/>
    </row>
    <row r="123" spans="1:8" x14ac:dyDescent="0.25">
      <c r="A123" s="13" t="s">
        <v>149</v>
      </c>
      <c r="B123" s="13"/>
      <c r="C123" s="6"/>
      <c r="D123" s="6"/>
      <c r="E123" s="8"/>
      <c r="F123" s="8" t="str">
        <f t="shared" si="2"/>
        <v/>
      </c>
      <c r="G123" s="13" t="str">
        <f t="shared" si="3"/>
        <v/>
      </c>
      <c r="H123" s="6"/>
    </row>
    <row r="124" spans="1:8" x14ac:dyDescent="0.25">
      <c r="A124" s="13" t="s">
        <v>150</v>
      </c>
      <c r="B124" s="13"/>
      <c r="C124" s="6"/>
      <c r="D124" s="6"/>
      <c r="E124" s="8"/>
      <c r="F124" s="8" t="str">
        <f t="shared" si="2"/>
        <v/>
      </c>
      <c r="G124" s="13" t="str">
        <f t="shared" si="3"/>
        <v/>
      </c>
      <c r="H124" s="6"/>
    </row>
    <row r="125" spans="1:8" x14ac:dyDescent="0.25">
      <c r="A125" s="13" t="s">
        <v>151</v>
      </c>
      <c r="B125" s="13"/>
      <c r="C125" s="6"/>
      <c r="D125" s="6"/>
      <c r="E125" s="8"/>
      <c r="F125" s="8" t="str">
        <f t="shared" si="2"/>
        <v/>
      </c>
      <c r="G125" s="13" t="str">
        <f t="shared" si="3"/>
        <v/>
      </c>
      <c r="H125" s="6"/>
    </row>
    <row r="126" spans="1:8" x14ac:dyDescent="0.25">
      <c r="A126" s="13" t="s">
        <v>152</v>
      </c>
      <c r="B126" s="13"/>
      <c r="C126" s="6"/>
      <c r="D126" s="6"/>
      <c r="E126" s="8"/>
      <c r="F126" s="8" t="str">
        <f t="shared" si="2"/>
        <v/>
      </c>
      <c r="G126" s="13" t="str">
        <f t="shared" si="3"/>
        <v/>
      </c>
      <c r="H126" s="6"/>
    </row>
    <row r="127" spans="1:8" x14ac:dyDescent="0.25">
      <c r="A127" s="13" t="s">
        <v>153</v>
      </c>
      <c r="B127" s="13"/>
      <c r="C127" s="6"/>
      <c r="D127" s="6"/>
      <c r="E127" s="8"/>
      <c r="F127" s="8" t="str">
        <f t="shared" si="2"/>
        <v/>
      </c>
      <c r="G127" s="13" t="str">
        <f t="shared" si="3"/>
        <v/>
      </c>
      <c r="H127" s="6"/>
    </row>
    <row r="128" spans="1:8" x14ac:dyDescent="0.25">
      <c r="A128" s="13" t="s">
        <v>154</v>
      </c>
      <c r="B128" s="13"/>
      <c r="C128" s="6"/>
      <c r="D128" s="6"/>
      <c r="E128" s="8"/>
      <c r="F128" s="8" t="str">
        <f t="shared" si="2"/>
        <v/>
      </c>
      <c r="G128" s="13" t="str">
        <f t="shared" si="3"/>
        <v/>
      </c>
      <c r="H128" s="6"/>
    </row>
    <row r="129" spans="1:8" x14ac:dyDescent="0.25">
      <c r="A129" s="13" t="s">
        <v>155</v>
      </c>
      <c r="B129" s="13"/>
      <c r="C129" s="6"/>
      <c r="D129" s="6"/>
      <c r="E129" s="8"/>
      <c r="F129" s="8" t="str">
        <f t="shared" si="2"/>
        <v/>
      </c>
      <c r="G129" s="13" t="str">
        <f t="shared" si="3"/>
        <v/>
      </c>
      <c r="H129" s="6"/>
    </row>
    <row r="130" spans="1:8" x14ac:dyDescent="0.25">
      <c r="A130" s="13" t="s">
        <v>156</v>
      </c>
      <c r="B130" s="13"/>
      <c r="C130" s="6"/>
      <c r="D130" s="6"/>
      <c r="E130" s="8"/>
      <c r="F130" s="8" t="str">
        <f t="shared" si="2"/>
        <v/>
      </c>
      <c r="G130" s="13" t="str">
        <f t="shared" si="3"/>
        <v/>
      </c>
      <c r="H130" s="6"/>
    </row>
    <row r="131" spans="1:8" x14ac:dyDescent="0.25">
      <c r="A131" s="13" t="s">
        <v>157</v>
      </c>
      <c r="B131" s="13"/>
      <c r="C131" s="6"/>
      <c r="D131" s="6"/>
      <c r="E131" s="8"/>
      <c r="F131" s="8" t="str">
        <f t="shared" si="2"/>
        <v/>
      </c>
      <c r="G131" s="13" t="str">
        <f t="shared" si="3"/>
        <v/>
      </c>
      <c r="H131" s="6"/>
    </row>
    <row r="132" spans="1:8" x14ac:dyDescent="0.25">
      <c r="A132" s="13" t="s">
        <v>158</v>
      </c>
      <c r="B132" s="13"/>
      <c r="C132" s="6"/>
      <c r="D132" s="6"/>
      <c r="E132" s="8"/>
      <c r="F132" s="8" t="str">
        <f t="shared" si="2"/>
        <v/>
      </c>
      <c r="G132" s="13" t="str">
        <f t="shared" si="3"/>
        <v/>
      </c>
      <c r="H132" s="6"/>
    </row>
    <row r="133" spans="1:8" x14ac:dyDescent="0.25">
      <c r="A133" s="13" t="s">
        <v>159</v>
      </c>
      <c r="B133" s="13"/>
      <c r="C133" s="6"/>
      <c r="D133" s="6"/>
      <c r="E133" s="8"/>
      <c r="F133" s="8" t="str">
        <f t="shared" si="2"/>
        <v/>
      </c>
      <c r="G133" s="13" t="str">
        <f t="shared" si="3"/>
        <v/>
      </c>
      <c r="H133" s="6"/>
    </row>
    <row r="134" spans="1:8" x14ac:dyDescent="0.25">
      <c r="A134" s="13" t="s">
        <v>160</v>
      </c>
      <c r="B134" s="13"/>
      <c r="C134" s="6"/>
      <c r="D134" s="6"/>
      <c r="E134" s="8"/>
      <c r="F134" s="8" t="str">
        <f t="shared" si="2"/>
        <v/>
      </c>
      <c r="G134" s="13" t="str">
        <f t="shared" si="3"/>
        <v/>
      </c>
      <c r="H134" s="6"/>
    </row>
    <row r="135" spans="1:8" x14ac:dyDescent="0.25">
      <c r="A135" s="13" t="s">
        <v>161</v>
      </c>
      <c r="B135" s="13"/>
      <c r="C135" s="6"/>
      <c r="D135" s="6"/>
      <c r="E135" s="8"/>
      <c r="F135" s="8" t="str">
        <f t="shared" ref="F135:F198" si="4">IF(OR(E135="",E135=0), "", IF(ISNUMBER(F134), F134+E135, E135))</f>
        <v/>
      </c>
      <c r="G135" s="13" t="str">
        <f t="shared" ref="G135:G198" si="5">IF(OR(E135="",E135=0), "", "✓ Received &amp; Logged")</f>
        <v/>
      </c>
      <c r="H135" s="6"/>
    </row>
    <row r="136" spans="1:8" x14ac:dyDescent="0.25">
      <c r="A136" s="13" t="s">
        <v>162</v>
      </c>
      <c r="B136" s="13"/>
      <c r="C136" s="6"/>
      <c r="D136" s="6"/>
      <c r="E136" s="8"/>
      <c r="F136" s="8" t="str">
        <f t="shared" si="4"/>
        <v/>
      </c>
      <c r="G136" s="13" t="str">
        <f t="shared" si="5"/>
        <v/>
      </c>
      <c r="H136" s="6"/>
    </row>
    <row r="137" spans="1:8" x14ac:dyDescent="0.25">
      <c r="A137" s="13" t="s">
        <v>163</v>
      </c>
      <c r="B137" s="13"/>
      <c r="C137" s="6"/>
      <c r="D137" s="6"/>
      <c r="E137" s="8"/>
      <c r="F137" s="8" t="str">
        <f t="shared" si="4"/>
        <v/>
      </c>
      <c r="G137" s="13" t="str">
        <f t="shared" si="5"/>
        <v/>
      </c>
      <c r="H137" s="6"/>
    </row>
    <row r="138" spans="1:8" x14ac:dyDescent="0.25">
      <c r="A138" s="13" t="s">
        <v>164</v>
      </c>
      <c r="B138" s="13"/>
      <c r="C138" s="6"/>
      <c r="D138" s="6"/>
      <c r="E138" s="8"/>
      <c r="F138" s="8" t="str">
        <f t="shared" si="4"/>
        <v/>
      </c>
      <c r="G138" s="13" t="str">
        <f t="shared" si="5"/>
        <v/>
      </c>
      <c r="H138" s="6"/>
    </row>
    <row r="139" spans="1:8" x14ac:dyDescent="0.25">
      <c r="A139" s="13" t="s">
        <v>165</v>
      </c>
      <c r="B139" s="13"/>
      <c r="C139" s="6"/>
      <c r="D139" s="6"/>
      <c r="E139" s="8"/>
      <c r="F139" s="8" t="str">
        <f t="shared" si="4"/>
        <v/>
      </c>
      <c r="G139" s="13" t="str">
        <f t="shared" si="5"/>
        <v/>
      </c>
      <c r="H139" s="6"/>
    </row>
    <row r="140" spans="1:8" x14ac:dyDescent="0.25">
      <c r="A140" s="13" t="s">
        <v>166</v>
      </c>
      <c r="B140" s="13"/>
      <c r="C140" s="6"/>
      <c r="D140" s="6"/>
      <c r="E140" s="8"/>
      <c r="F140" s="8" t="str">
        <f t="shared" si="4"/>
        <v/>
      </c>
      <c r="G140" s="13" t="str">
        <f t="shared" si="5"/>
        <v/>
      </c>
      <c r="H140" s="6"/>
    </row>
    <row r="141" spans="1:8" x14ac:dyDescent="0.25">
      <c r="A141" s="13" t="s">
        <v>167</v>
      </c>
      <c r="B141" s="13"/>
      <c r="C141" s="6"/>
      <c r="D141" s="6"/>
      <c r="E141" s="8"/>
      <c r="F141" s="8" t="str">
        <f t="shared" si="4"/>
        <v/>
      </c>
      <c r="G141" s="13" t="str">
        <f t="shared" si="5"/>
        <v/>
      </c>
      <c r="H141" s="6"/>
    </row>
    <row r="142" spans="1:8" x14ac:dyDescent="0.25">
      <c r="A142" s="13" t="s">
        <v>168</v>
      </c>
      <c r="B142" s="13"/>
      <c r="C142" s="6"/>
      <c r="D142" s="6"/>
      <c r="E142" s="8"/>
      <c r="F142" s="8" t="str">
        <f t="shared" si="4"/>
        <v/>
      </c>
      <c r="G142" s="13" t="str">
        <f t="shared" si="5"/>
        <v/>
      </c>
      <c r="H142" s="6"/>
    </row>
    <row r="143" spans="1:8" x14ac:dyDescent="0.25">
      <c r="A143" s="13" t="s">
        <v>169</v>
      </c>
      <c r="B143" s="13"/>
      <c r="C143" s="6"/>
      <c r="D143" s="6"/>
      <c r="E143" s="8"/>
      <c r="F143" s="8" t="str">
        <f t="shared" si="4"/>
        <v/>
      </c>
      <c r="G143" s="13" t="str">
        <f t="shared" si="5"/>
        <v/>
      </c>
      <c r="H143" s="6"/>
    </row>
    <row r="144" spans="1:8" x14ac:dyDescent="0.25">
      <c r="A144" s="13" t="s">
        <v>170</v>
      </c>
      <c r="B144" s="13"/>
      <c r="C144" s="6"/>
      <c r="D144" s="6"/>
      <c r="E144" s="8"/>
      <c r="F144" s="8" t="str">
        <f t="shared" si="4"/>
        <v/>
      </c>
      <c r="G144" s="13" t="str">
        <f t="shared" si="5"/>
        <v/>
      </c>
      <c r="H144" s="6"/>
    </row>
    <row r="145" spans="1:8" x14ac:dyDescent="0.25">
      <c r="A145" s="13" t="s">
        <v>171</v>
      </c>
      <c r="B145" s="13"/>
      <c r="C145" s="6"/>
      <c r="D145" s="6"/>
      <c r="E145" s="8"/>
      <c r="F145" s="8" t="str">
        <f t="shared" si="4"/>
        <v/>
      </c>
      <c r="G145" s="13" t="str">
        <f t="shared" si="5"/>
        <v/>
      </c>
      <c r="H145" s="6"/>
    </row>
    <row r="146" spans="1:8" x14ac:dyDescent="0.25">
      <c r="A146" s="13" t="s">
        <v>172</v>
      </c>
      <c r="B146" s="13"/>
      <c r="C146" s="6"/>
      <c r="D146" s="6"/>
      <c r="E146" s="8"/>
      <c r="F146" s="8" t="str">
        <f t="shared" si="4"/>
        <v/>
      </c>
      <c r="G146" s="13" t="str">
        <f t="shared" si="5"/>
        <v/>
      </c>
      <c r="H146" s="6"/>
    </row>
    <row r="147" spans="1:8" x14ac:dyDescent="0.25">
      <c r="A147" s="13" t="s">
        <v>173</v>
      </c>
      <c r="B147" s="13"/>
      <c r="C147" s="6"/>
      <c r="D147" s="6"/>
      <c r="E147" s="8"/>
      <c r="F147" s="8" t="str">
        <f t="shared" si="4"/>
        <v/>
      </c>
      <c r="G147" s="13" t="str">
        <f t="shared" si="5"/>
        <v/>
      </c>
      <c r="H147" s="6"/>
    </row>
    <row r="148" spans="1:8" x14ac:dyDescent="0.25">
      <c r="A148" s="13" t="s">
        <v>174</v>
      </c>
      <c r="B148" s="13"/>
      <c r="C148" s="6"/>
      <c r="D148" s="6"/>
      <c r="E148" s="8"/>
      <c r="F148" s="8" t="str">
        <f t="shared" si="4"/>
        <v/>
      </c>
      <c r="G148" s="13" t="str">
        <f t="shared" si="5"/>
        <v/>
      </c>
      <c r="H148" s="6"/>
    </row>
    <row r="149" spans="1:8" x14ac:dyDescent="0.25">
      <c r="A149" s="13" t="s">
        <v>175</v>
      </c>
      <c r="B149" s="13"/>
      <c r="C149" s="6"/>
      <c r="D149" s="6"/>
      <c r="E149" s="8"/>
      <c r="F149" s="8" t="str">
        <f t="shared" si="4"/>
        <v/>
      </c>
      <c r="G149" s="13" t="str">
        <f t="shared" si="5"/>
        <v/>
      </c>
      <c r="H149" s="6"/>
    </row>
    <row r="150" spans="1:8" x14ac:dyDescent="0.25">
      <c r="A150" s="13" t="s">
        <v>176</v>
      </c>
      <c r="B150" s="13"/>
      <c r="C150" s="6"/>
      <c r="D150" s="6"/>
      <c r="E150" s="8"/>
      <c r="F150" s="8" t="str">
        <f t="shared" si="4"/>
        <v/>
      </c>
      <c r="G150" s="13" t="str">
        <f t="shared" si="5"/>
        <v/>
      </c>
      <c r="H150" s="6"/>
    </row>
    <row r="151" spans="1:8" x14ac:dyDescent="0.25">
      <c r="A151" s="13" t="s">
        <v>177</v>
      </c>
      <c r="B151" s="13"/>
      <c r="C151" s="6"/>
      <c r="D151" s="6"/>
      <c r="E151" s="8"/>
      <c r="F151" s="8" t="str">
        <f t="shared" si="4"/>
        <v/>
      </c>
      <c r="G151" s="13" t="str">
        <f t="shared" si="5"/>
        <v/>
      </c>
      <c r="H151" s="6"/>
    </row>
    <row r="152" spans="1:8" x14ac:dyDescent="0.25">
      <c r="A152" s="13" t="s">
        <v>178</v>
      </c>
      <c r="B152" s="13"/>
      <c r="C152" s="6"/>
      <c r="D152" s="6"/>
      <c r="E152" s="8"/>
      <c r="F152" s="8" t="str">
        <f t="shared" si="4"/>
        <v/>
      </c>
      <c r="G152" s="13" t="str">
        <f t="shared" si="5"/>
        <v/>
      </c>
      <c r="H152" s="6"/>
    </row>
    <row r="153" spans="1:8" x14ac:dyDescent="0.25">
      <c r="A153" s="13" t="s">
        <v>179</v>
      </c>
      <c r="B153" s="13"/>
      <c r="C153" s="6"/>
      <c r="D153" s="6"/>
      <c r="E153" s="8"/>
      <c r="F153" s="8" t="str">
        <f t="shared" si="4"/>
        <v/>
      </c>
      <c r="G153" s="13" t="str">
        <f t="shared" si="5"/>
        <v/>
      </c>
      <c r="H153" s="6"/>
    </row>
    <row r="154" spans="1:8" x14ac:dyDescent="0.25">
      <c r="A154" s="13" t="s">
        <v>180</v>
      </c>
      <c r="B154" s="13"/>
      <c r="C154" s="6"/>
      <c r="D154" s="6"/>
      <c r="E154" s="8"/>
      <c r="F154" s="8" t="str">
        <f t="shared" si="4"/>
        <v/>
      </c>
      <c r="G154" s="13" t="str">
        <f t="shared" si="5"/>
        <v/>
      </c>
      <c r="H154" s="6"/>
    </row>
    <row r="155" spans="1:8" x14ac:dyDescent="0.25">
      <c r="A155" s="13" t="s">
        <v>181</v>
      </c>
      <c r="B155" s="13"/>
      <c r="C155" s="6"/>
      <c r="D155" s="6"/>
      <c r="E155" s="8"/>
      <c r="F155" s="8" t="str">
        <f t="shared" si="4"/>
        <v/>
      </c>
      <c r="G155" s="13" t="str">
        <f t="shared" si="5"/>
        <v/>
      </c>
      <c r="H155" s="6"/>
    </row>
    <row r="156" spans="1:8" x14ac:dyDescent="0.25">
      <c r="A156" s="13" t="s">
        <v>182</v>
      </c>
      <c r="B156" s="13"/>
      <c r="C156" s="6"/>
      <c r="D156" s="6"/>
      <c r="E156" s="8"/>
      <c r="F156" s="8" t="str">
        <f t="shared" si="4"/>
        <v/>
      </c>
      <c r="G156" s="13" t="str">
        <f t="shared" si="5"/>
        <v/>
      </c>
      <c r="H156" s="6"/>
    </row>
    <row r="157" spans="1:8" x14ac:dyDescent="0.25">
      <c r="A157" s="13" t="s">
        <v>183</v>
      </c>
      <c r="B157" s="13"/>
      <c r="C157" s="6"/>
      <c r="D157" s="6"/>
      <c r="E157" s="8"/>
      <c r="F157" s="8" t="str">
        <f t="shared" si="4"/>
        <v/>
      </c>
      <c r="G157" s="13" t="str">
        <f t="shared" si="5"/>
        <v/>
      </c>
      <c r="H157" s="6"/>
    </row>
    <row r="158" spans="1:8" x14ac:dyDescent="0.25">
      <c r="A158" s="13" t="s">
        <v>184</v>
      </c>
      <c r="B158" s="13"/>
      <c r="C158" s="6"/>
      <c r="D158" s="6"/>
      <c r="E158" s="8"/>
      <c r="F158" s="8" t="str">
        <f t="shared" si="4"/>
        <v/>
      </c>
      <c r="G158" s="13" t="str">
        <f t="shared" si="5"/>
        <v/>
      </c>
      <c r="H158" s="6"/>
    </row>
    <row r="159" spans="1:8" x14ac:dyDescent="0.25">
      <c r="A159" s="13" t="s">
        <v>185</v>
      </c>
      <c r="B159" s="13"/>
      <c r="C159" s="6"/>
      <c r="D159" s="6"/>
      <c r="E159" s="8"/>
      <c r="F159" s="8" t="str">
        <f t="shared" si="4"/>
        <v/>
      </c>
      <c r="G159" s="13" t="str">
        <f t="shared" si="5"/>
        <v/>
      </c>
      <c r="H159" s="6"/>
    </row>
    <row r="160" spans="1:8" x14ac:dyDescent="0.25">
      <c r="A160" s="13" t="s">
        <v>186</v>
      </c>
      <c r="B160" s="13"/>
      <c r="C160" s="6"/>
      <c r="D160" s="6"/>
      <c r="E160" s="8"/>
      <c r="F160" s="8" t="str">
        <f t="shared" si="4"/>
        <v/>
      </c>
      <c r="G160" s="13" t="str">
        <f t="shared" si="5"/>
        <v/>
      </c>
      <c r="H160" s="6"/>
    </row>
    <row r="161" spans="1:8" x14ac:dyDescent="0.25">
      <c r="A161" s="13" t="s">
        <v>187</v>
      </c>
      <c r="B161" s="13"/>
      <c r="C161" s="6"/>
      <c r="D161" s="6"/>
      <c r="E161" s="8"/>
      <c r="F161" s="8" t="str">
        <f t="shared" si="4"/>
        <v/>
      </c>
      <c r="G161" s="13" t="str">
        <f t="shared" si="5"/>
        <v/>
      </c>
      <c r="H161" s="6"/>
    </row>
    <row r="162" spans="1:8" x14ac:dyDescent="0.25">
      <c r="A162" s="13" t="s">
        <v>188</v>
      </c>
      <c r="B162" s="13"/>
      <c r="C162" s="6"/>
      <c r="D162" s="6"/>
      <c r="E162" s="8"/>
      <c r="F162" s="8" t="str">
        <f t="shared" si="4"/>
        <v/>
      </c>
      <c r="G162" s="13" t="str">
        <f t="shared" si="5"/>
        <v/>
      </c>
      <c r="H162" s="6"/>
    </row>
    <row r="163" spans="1:8" x14ac:dyDescent="0.25">
      <c r="A163" s="13" t="s">
        <v>189</v>
      </c>
      <c r="B163" s="13"/>
      <c r="C163" s="6"/>
      <c r="D163" s="6"/>
      <c r="E163" s="8"/>
      <c r="F163" s="8" t="str">
        <f t="shared" si="4"/>
        <v/>
      </c>
      <c r="G163" s="13" t="str">
        <f t="shared" si="5"/>
        <v/>
      </c>
      <c r="H163" s="6"/>
    </row>
    <row r="164" spans="1:8" x14ac:dyDescent="0.25">
      <c r="A164" s="13" t="s">
        <v>190</v>
      </c>
      <c r="B164" s="13"/>
      <c r="C164" s="6"/>
      <c r="D164" s="6"/>
      <c r="E164" s="8"/>
      <c r="F164" s="8" t="str">
        <f t="shared" si="4"/>
        <v/>
      </c>
      <c r="G164" s="13" t="str">
        <f t="shared" si="5"/>
        <v/>
      </c>
      <c r="H164" s="6"/>
    </row>
    <row r="165" spans="1:8" x14ac:dyDescent="0.25">
      <c r="A165" s="13" t="s">
        <v>191</v>
      </c>
      <c r="B165" s="13"/>
      <c r="C165" s="6"/>
      <c r="D165" s="6"/>
      <c r="E165" s="8"/>
      <c r="F165" s="8" t="str">
        <f t="shared" si="4"/>
        <v/>
      </c>
      <c r="G165" s="13" t="str">
        <f t="shared" si="5"/>
        <v/>
      </c>
      <c r="H165" s="6"/>
    </row>
    <row r="166" spans="1:8" x14ac:dyDescent="0.25">
      <c r="A166" s="13" t="s">
        <v>192</v>
      </c>
      <c r="B166" s="13"/>
      <c r="C166" s="6"/>
      <c r="D166" s="6"/>
      <c r="E166" s="8"/>
      <c r="F166" s="8" t="str">
        <f t="shared" si="4"/>
        <v/>
      </c>
      <c r="G166" s="13" t="str">
        <f t="shared" si="5"/>
        <v/>
      </c>
      <c r="H166" s="6"/>
    </row>
    <row r="167" spans="1:8" x14ac:dyDescent="0.25">
      <c r="A167" s="13" t="s">
        <v>193</v>
      </c>
      <c r="B167" s="13"/>
      <c r="C167" s="6"/>
      <c r="D167" s="6"/>
      <c r="E167" s="8"/>
      <c r="F167" s="8" t="str">
        <f t="shared" si="4"/>
        <v/>
      </c>
      <c r="G167" s="13" t="str">
        <f t="shared" si="5"/>
        <v/>
      </c>
      <c r="H167" s="6"/>
    </row>
    <row r="168" spans="1:8" x14ac:dyDescent="0.25">
      <c r="A168" s="13" t="s">
        <v>194</v>
      </c>
      <c r="B168" s="13"/>
      <c r="C168" s="6"/>
      <c r="D168" s="6"/>
      <c r="E168" s="8"/>
      <c r="F168" s="8" t="str">
        <f t="shared" si="4"/>
        <v/>
      </c>
      <c r="G168" s="13" t="str">
        <f t="shared" si="5"/>
        <v/>
      </c>
      <c r="H168" s="6"/>
    </row>
    <row r="169" spans="1:8" x14ac:dyDescent="0.25">
      <c r="A169" s="13" t="s">
        <v>195</v>
      </c>
      <c r="B169" s="13"/>
      <c r="C169" s="6"/>
      <c r="D169" s="6"/>
      <c r="E169" s="8"/>
      <c r="F169" s="8" t="str">
        <f t="shared" si="4"/>
        <v/>
      </c>
      <c r="G169" s="13" t="str">
        <f t="shared" si="5"/>
        <v/>
      </c>
      <c r="H169" s="6"/>
    </row>
    <row r="170" spans="1:8" x14ac:dyDescent="0.25">
      <c r="A170" s="13" t="s">
        <v>196</v>
      </c>
      <c r="B170" s="13"/>
      <c r="C170" s="6"/>
      <c r="D170" s="6"/>
      <c r="E170" s="8"/>
      <c r="F170" s="8" t="str">
        <f t="shared" si="4"/>
        <v/>
      </c>
      <c r="G170" s="13" t="str">
        <f t="shared" si="5"/>
        <v/>
      </c>
      <c r="H170" s="6"/>
    </row>
    <row r="171" spans="1:8" x14ac:dyDescent="0.25">
      <c r="A171" s="13" t="s">
        <v>197</v>
      </c>
      <c r="B171" s="13"/>
      <c r="C171" s="6"/>
      <c r="D171" s="6"/>
      <c r="E171" s="8"/>
      <c r="F171" s="8" t="str">
        <f t="shared" si="4"/>
        <v/>
      </c>
      <c r="G171" s="13" t="str">
        <f t="shared" si="5"/>
        <v/>
      </c>
      <c r="H171" s="6"/>
    </row>
    <row r="172" spans="1:8" x14ac:dyDescent="0.25">
      <c r="A172" s="13" t="s">
        <v>198</v>
      </c>
      <c r="B172" s="13"/>
      <c r="C172" s="6"/>
      <c r="D172" s="6"/>
      <c r="E172" s="8"/>
      <c r="F172" s="8" t="str">
        <f t="shared" si="4"/>
        <v/>
      </c>
      <c r="G172" s="13" t="str">
        <f t="shared" si="5"/>
        <v/>
      </c>
      <c r="H172" s="6"/>
    </row>
    <row r="173" spans="1:8" x14ac:dyDescent="0.25">
      <c r="A173" s="13" t="s">
        <v>199</v>
      </c>
      <c r="B173" s="13"/>
      <c r="C173" s="6"/>
      <c r="D173" s="6"/>
      <c r="E173" s="8"/>
      <c r="F173" s="8" t="str">
        <f t="shared" si="4"/>
        <v/>
      </c>
      <c r="G173" s="13" t="str">
        <f t="shared" si="5"/>
        <v/>
      </c>
      <c r="H173" s="6"/>
    </row>
    <row r="174" spans="1:8" x14ac:dyDescent="0.25">
      <c r="A174" s="13" t="s">
        <v>200</v>
      </c>
      <c r="B174" s="13"/>
      <c r="C174" s="6"/>
      <c r="D174" s="6"/>
      <c r="E174" s="8"/>
      <c r="F174" s="8" t="str">
        <f t="shared" si="4"/>
        <v/>
      </c>
      <c r="G174" s="13" t="str">
        <f t="shared" si="5"/>
        <v/>
      </c>
      <c r="H174" s="6"/>
    </row>
    <row r="175" spans="1:8" x14ac:dyDescent="0.25">
      <c r="A175" s="13" t="s">
        <v>201</v>
      </c>
      <c r="B175" s="13"/>
      <c r="C175" s="6"/>
      <c r="D175" s="6"/>
      <c r="E175" s="8"/>
      <c r="F175" s="8" t="str">
        <f t="shared" si="4"/>
        <v/>
      </c>
      <c r="G175" s="13" t="str">
        <f t="shared" si="5"/>
        <v/>
      </c>
      <c r="H175" s="6"/>
    </row>
    <row r="176" spans="1:8" x14ac:dyDescent="0.25">
      <c r="A176" s="13" t="s">
        <v>202</v>
      </c>
      <c r="B176" s="13"/>
      <c r="C176" s="6"/>
      <c r="D176" s="6"/>
      <c r="E176" s="8"/>
      <c r="F176" s="8" t="str">
        <f t="shared" si="4"/>
        <v/>
      </c>
      <c r="G176" s="13" t="str">
        <f t="shared" si="5"/>
        <v/>
      </c>
      <c r="H176" s="6"/>
    </row>
    <row r="177" spans="1:8" x14ac:dyDescent="0.25">
      <c r="A177" s="13" t="s">
        <v>203</v>
      </c>
      <c r="B177" s="13"/>
      <c r="C177" s="6"/>
      <c r="D177" s="6"/>
      <c r="E177" s="8"/>
      <c r="F177" s="8" t="str">
        <f t="shared" si="4"/>
        <v/>
      </c>
      <c r="G177" s="13" t="str">
        <f t="shared" si="5"/>
        <v/>
      </c>
      <c r="H177" s="6"/>
    </row>
    <row r="178" spans="1:8" x14ac:dyDescent="0.25">
      <c r="A178" s="13" t="s">
        <v>204</v>
      </c>
      <c r="B178" s="13"/>
      <c r="C178" s="6"/>
      <c r="D178" s="6"/>
      <c r="E178" s="8"/>
      <c r="F178" s="8" t="str">
        <f t="shared" si="4"/>
        <v/>
      </c>
      <c r="G178" s="13" t="str">
        <f t="shared" si="5"/>
        <v/>
      </c>
      <c r="H178" s="6"/>
    </row>
    <row r="179" spans="1:8" x14ac:dyDescent="0.25">
      <c r="A179" s="13" t="s">
        <v>205</v>
      </c>
      <c r="B179" s="13"/>
      <c r="C179" s="6"/>
      <c r="D179" s="6"/>
      <c r="E179" s="8"/>
      <c r="F179" s="8" t="str">
        <f t="shared" si="4"/>
        <v/>
      </c>
      <c r="G179" s="13" t="str">
        <f t="shared" si="5"/>
        <v/>
      </c>
      <c r="H179" s="6"/>
    </row>
    <row r="180" spans="1:8" x14ac:dyDescent="0.25">
      <c r="A180" s="13" t="s">
        <v>206</v>
      </c>
      <c r="B180" s="13"/>
      <c r="C180" s="6"/>
      <c r="D180" s="6"/>
      <c r="E180" s="8"/>
      <c r="F180" s="8" t="str">
        <f t="shared" si="4"/>
        <v/>
      </c>
      <c r="G180" s="13" t="str">
        <f t="shared" si="5"/>
        <v/>
      </c>
      <c r="H180" s="6"/>
    </row>
    <row r="181" spans="1:8" x14ac:dyDescent="0.25">
      <c r="A181" s="13" t="s">
        <v>207</v>
      </c>
      <c r="B181" s="13"/>
      <c r="C181" s="6"/>
      <c r="D181" s="6"/>
      <c r="E181" s="8"/>
      <c r="F181" s="8" t="str">
        <f t="shared" si="4"/>
        <v/>
      </c>
      <c r="G181" s="13" t="str">
        <f t="shared" si="5"/>
        <v/>
      </c>
      <c r="H181" s="6"/>
    </row>
    <row r="182" spans="1:8" x14ac:dyDescent="0.25">
      <c r="A182" s="13" t="s">
        <v>208</v>
      </c>
      <c r="B182" s="13"/>
      <c r="C182" s="6"/>
      <c r="D182" s="6"/>
      <c r="E182" s="8"/>
      <c r="F182" s="8" t="str">
        <f t="shared" si="4"/>
        <v/>
      </c>
      <c r="G182" s="13" t="str">
        <f t="shared" si="5"/>
        <v/>
      </c>
      <c r="H182" s="6"/>
    </row>
    <row r="183" spans="1:8" x14ac:dyDescent="0.25">
      <c r="A183" s="13" t="s">
        <v>209</v>
      </c>
      <c r="B183" s="13"/>
      <c r="C183" s="6"/>
      <c r="D183" s="6"/>
      <c r="E183" s="8"/>
      <c r="F183" s="8" t="str">
        <f t="shared" si="4"/>
        <v/>
      </c>
      <c r="G183" s="13" t="str">
        <f t="shared" si="5"/>
        <v/>
      </c>
      <c r="H183" s="6"/>
    </row>
    <row r="184" spans="1:8" x14ac:dyDescent="0.25">
      <c r="A184" s="13" t="s">
        <v>210</v>
      </c>
      <c r="B184" s="13"/>
      <c r="C184" s="6"/>
      <c r="D184" s="6"/>
      <c r="E184" s="8"/>
      <c r="F184" s="8" t="str">
        <f t="shared" si="4"/>
        <v/>
      </c>
      <c r="G184" s="13" t="str">
        <f t="shared" si="5"/>
        <v/>
      </c>
      <c r="H184" s="6"/>
    </row>
    <row r="185" spans="1:8" x14ac:dyDescent="0.25">
      <c r="A185" s="13" t="s">
        <v>211</v>
      </c>
      <c r="B185" s="13"/>
      <c r="C185" s="6"/>
      <c r="D185" s="6"/>
      <c r="E185" s="8"/>
      <c r="F185" s="8" t="str">
        <f t="shared" si="4"/>
        <v/>
      </c>
      <c r="G185" s="13" t="str">
        <f t="shared" si="5"/>
        <v/>
      </c>
      <c r="H185" s="6"/>
    </row>
    <row r="186" spans="1:8" x14ac:dyDescent="0.25">
      <c r="A186" s="13" t="s">
        <v>212</v>
      </c>
      <c r="B186" s="13"/>
      <c r="C186" s="6"/>
      <c r="D186" s="6"/>
      <c r="E186" s="8"/>
      <c r="F186" s="8" t="str">
        <f t="shared" si="4"/>
        <v/>
      </c>
      <c r="G186" s="13" t="str">
        <f t="shared" si="5"/>
        <v/>
      </c>
      <c r="H186" s="6"/>
    </row>
    <row r="187" spans="1:8" x14ac:dyDescent="0.25">
      <c r="A187" s="13" t="s">
        <v>213</v>
      </c>
      <c r="B187" s="13"/>
      <c r="C187" s="6"/>
      <c r="D187" s="6"/>
      <c r="E187" s="8"/>
      <c r="F187" s="8" t="str">
        <f t="shared" si="4"/>
        <v/>
      </c>
      <c r="G187" s="13" t="str">
        <f t="shared" si="5"/>
        <v/>
      </c>
      <c r="H187" s="6"/>
    </row>
    <row r="188" spans="1:8" x14ac:dyDescent="0.25">
      <c r="A188" s="13" t="s">
        <v>214</v>
      </c>
      <c r="B188" s="13"/>
      <c r="C188" s="6"/>
      <c r="D188" s="6"/>
      <c r="E188" s="8"/>
      <c r="F188" s="8" t="str">
        <f t="shared" si="4"/>
        <v/>
      </c>
      <c r="G188" s="13" t="str">
        <f t="shared" si="5"/>
        <v/>
      </c>
      <c r="H188" s="6"/>
    </row>
    <row r="189" spans="1:8" x14ac:dyDescent="0.25">
      <c r="A189" s="13" t="s">
        <v>215</v>
      </c>
      <c r="B189" s="13"/>
      <c r="C189" s="6"/>
      <c r="D189" s="6"/>
      <c r="E189" s="8"/>
      <c r="F189" s="8" t="str">
        <f t="shared" si="4"/>
        <v/>
      </c>
      <c r="G189" s="13" t="str">
        <f t="shared" si="5"/>
        <v/>
      </c>
      <c r="H189" s="6"/>
    </row>
    <row r="190" spans="1:8" x14ac:dyDescent="0.25">
      <c r="A190" s="13" t="s">
        <v>216</v>
      </c>
      <c r="B190" s="13"/>
      <c r="C190" s="6"/>
      <c r="D190" s="6"/>
      <c r="E190" s="8"/>
      <c r="F190" s="8" t="str">
        <f t="shared" si="4"/>
        <v/>
      </c>
      <c r="G190" s="13" t="str">
        <f t="shared" si="5"/>
        <v/>
      </c>
      <c r="H190" s="6"/>
    </row>
    <row r="191" spans="1:8" x14ac:dyDescent="0.25">
      <c r="A191" s="13" t="s">
        <v>217</v>
      </c>
      <c r="B191" s="13"/>
      <c r="C191" s="6"/>
      <c r="D191" s="6"/>
      <c r="E191" s="8"/>
      <c r="F191" s="8" t="str">
        <f t="shared" si="4"/>
        <v/>
      </c>
      <c r="G191" s="13" t="str">
        <f t="shared" si="5"/>
        <v/>
      </c>
      <c r="H191" s="6"/>
    </row>
    <row r="192" spans="1:8" x14ac:dyDescent="0.25">
      <c r="A192" s="13" t="s">
        <v>218</v>
      </c>
      <c r="B192" s="13"/>
      <c r="C192" s="6"/>
      <c r="D192" s="6"/>
      <c r="E192" s="8"/>
      <c r="F192" s="8" t="str">
        <f t="shared" si="4"/>
        <v/>
      </c>
      <c r="G192" s="13" t="str">
        <f t="shared" si="5"/>
        <v/>
      </c>
      <c r="H192" s="6"/>
    </row>
    <row r="193" spans="1:8" x14ac:dyDescent="0.25">
      <c r="A193" s="13" t="s">
        <v>219</v>
      </c>
      <c r="B193" s="13"/>
      <c r="C193" s="6"/>
      <c r="D193" s="6"/>
      <c r="E193" s="8"/>
      <c r="F193" s="8" t="str">
        <f t="shared" si="4"/>
        <v/>
      </c>
      <c r="G193" s="13" t="str">
        <f t="shared" si="5"/>
        <v/>
      </c>
      <c r="H193" s="6"/>
    </row>
    <row r="194" spans="1:8" x14ac:dyDescent="0.25">
      <c r="A194" s="13" t="s">
        <v>220</v>
      </c>
      <c r="B194" s="13"/>
      <c r="C194" s="6"/>
      <c r="D194" s="6"/>
      <c r="E194" s="8"/>
      <c r="F194" s="8" t="str">
        <f t="shared" si="4"/>
        <v/>
      </c>
      <c r="G194" s="13" t="str">
        <f t="shared" si="5"/>
        <v/>
      </c>
      <c r="H194" s="6"/>
    </row>
    <row r="195" spans="1:8" x14ac:dyDescent="0.25">
      <c r="A195" s="13" t="s">
        <v>221</v>
      </c>
      <c r="B195" s="13"/>
      <c r="C195" s="6"/>
      <c r="D195" s="6"/>
      <c r="E195" s="8"/>
      <c r="F195" s="8" t="str">
        <f t="shared" si="4"/>
        <v/>
      </c>
      <c r="G195" s="13" t="str">
        <f t="shared" si="5"/>
        <v/>
      </c>
      <c r="H195" s="6"/>
    </row>
    <row r="196" spans="1:8" x14ac:dyDescent="0.25">
      <c r="A196" s="13" t="s">
        <v>222</v>
      </c>
      <c r="B196" s="13"/>
      <c r="C196" s="6"/>
      <c r="D196" s="6"/>
      <c r="E196" s="8"/>
      <c r="F196" s="8" t="str">
        <f t="shared" si="4"/>
        <v/>
      </c>
      <c r="G196" s="13" t="str">
        <f t="shared" si="5"/>
        <v/>
      </c>
      <c r="H196" s="6"/>
    </row>
    <row r="197" spans="1:8" x14ac:dyDescent="0.25">
      <c r="A197" s="13" t="s">
        <v>223</v>
      </c>
      <c r="B197" s="13"/>
      <c r="C197" s="6"/>
      <c r="D197" s="6"/>
      <c r="E197" s="8"/>
      <c r="F197" s="8" t="str">
        <f t="shared" si="4"/>
        <v/>
      </c>
      <c r="G197" s="13" t="str">
        <f t="shared" si="5"/>
        <v/>
      </c>
      <c r="H197" s="6"/>
    </row>
    <row r="198" spans="1:8" x14ac:dyDescent="0.25">
      <c r="A198" s="13" t="s">
        <v>224</v>
      </c>
      <c r="B198" s="13"/>
      <c r="C198" s="6"/>
      <c r="D198" s="6"/>
      <c r="E198" s="8"/>
      <c r="F198" s="8" t="str">
        <f t="shared" si="4"/>
        <v/>
      </c>
      <c r="G198" s="13" t="str">
        <f t="shared" si="5"/>
        <v/>
      </c>
      <c r="H198" s="6"/>
    </row>
    <row r="199" spans="1:8" x14ac:dyDescent="0.25">
      <c r="A199" s="13" t="s">
        <v>225</v>
      </c>
      <c r="B199" s="13"/>
      <c r="C199" s="6"/>
      <c r="D199" s="6"/>
      <c r="E199" s="8"/>
      <c r="F199" s="8" t="str">
        <f t="shared" ref="F199:F262" si="6">IF(OR(E199="",E199=0), "", IF(ISNUMBER(F198), F198+E199, E199))</f>
        <v/>
      </c>
      <c r="G199" s="13" t="str">
        <f t="shared" ref="G199:G262" si="7">IF(OR(E199="",E199=0), "", "✓ Received &amp; Logged")</f>
        <v/>
      </c>
      <c r="H199" s="6"/>
    </row>
    <row r="200" spans="1:8" x14ac:dyDescent="0.25">
      <c r="A200" s="13" t="s">
        <v>226</v>
      </c>
      <c r="B200" s="13"/>
      <c r="C200" s="6"/>
      <c r="D200" s="6"/>
      <c r="E200" s="8"/>
      <c r="F200" s="8" t="str">
        <f t="shared" si="6"/>
        <v/>
      </c>
      <c r="G200" s="13" t="str">
        <f t="shared" si="7"/>
        <v/>
      </c>
      <c r="H200" s="6"/>
    </row>
    <row r="201" spans="1:8" x14ac:dyDescent="0.25">
      <c r="A201" s="13" t="s">
        <v>227</v>
      </c>
      <c r="B201" s="13"/>
      <c r="C201" s="6"/>
      <c r="D201" s="6"/>
      <c r="E201" s="8"/>
      <c r="F201" s="8" t="str">
        <f t="shared" si="6"/>
        <v/>
      </c>
      <c r="G201" s="13" t="str">
        <f t="shared" si="7"/>
        <v/>
      </c>
      <c r="H201" s="6"/>
    </row>
    <row r="202" spans="1:8" x14ac:dyDescent="0.25">
      <c r="A202" s="13" t="s">
        <v>228</v>
      </c>
      <c r="B202" s="13"/>
      <c r="C202" s="6"/>
      <c r="D202" s="6"/>
      <c r="E202" s="8"/>
      <c r="F202" s="8" t="str">
        <f t="shared" si="6"/>
        <v/>
      </c>
      <c r="G202" s="13" t="str">
        <f t="shared" si="7"/>
        <v/>
      </c>
      <c r="H202" s="6"/>
    </row>
    <row r="203" spans="1:8" x14ac:dyDescent="0.25">
      <c r="A203" s="13" t="s">
        <v>229</v>
      </c>
      <c r="B203" s="13"/>
      <c r="C203" s="6"/>
      <c r="D203" s="6"/>
      <c r="E203" s="8"/>
      <c r="F203" s="8" t="str">
        <f t="shared" si="6"/>
        <v/>
      </c>
      <c r="G203" s="13" t="str">
        <f t="shared" si="7"/>
        <v/>
      </c>
      <c r="H203" s="6"/>
    </row>
    <row r="204" spans="1:8" x14ac:dyDescent="0.25">
      <c r="A204" s="13" t="s">
        <v>230</v>
      </c>
      <c r="B204" s="13"/>
      <c r="C204" s="6"/>
      <c r="D204" s="6"/>
      <c r="E204" s="8"/>
      <c r="F204" s="8" t="str">
        <f t="shared" si="6"/>
        <v/>
      </c>
      <c r="G204" s="13" t="str">
        <f t="shared" si="7"/>
        <v/>
      </c>
      <c r="H204" s="6"/>
    </row>
    <row r="205" spans="1:8" x14ac:dyDescent="0.25">
      <c r="A205" s="13" t="s">
        <v>231</v>
      </c>
      <c r="B205" s="13"/>
      <c r="C205" s="6"/>
      <c r="D205" s="6"/>
      <c r="E205" s="8"/>
      <c r="F205" s="8" t="str">
        <f t="shared" si="6"/>
        <v/>
      </c>
      <c r="G205" s="13" t="str">
        <f t="shared" si="7"/>
        <v/>
      </c>
      <c r="H205" s="6"/>
    </row>
    <row r="206" spans="1:8" x14ac:dyDescent="0.25">
      <c r="A206" s="13" t="s">
        <v>232</v>
      </c>
      <c r="B206" s="13"/>
      <c r="C206" s="6"/>
      <c r="D206" s="6"/>
      <c r="E206" s="8"/>
      <c r="F206" s="8" t="str">
        <f t="shared" si="6"/>
        <v/>
      </c>
      <c r="G206" s="13" t="str">
        <f t="shared" si="7"/>
        <v/>
      </c>
      <c r="H206" s="6"/>
    </row>
    <row r="207" spans="1:8" x14ac:dyDescent="0.25">
      <c r="A207" s="13" t="s">
        <v>233</v>
      </c>
      <c r="B207" s="13"/>
      <c r="C207" s="6"/>
      <c r="D207" s="6"/>
      <c r="E207" s="8"/>
      <c r="F207" s="8" t="str">
        <f t="shared" si="6"/>
        <v/>
      </c>
      <c r="G207" s="13" t="str">
        <f t="shared" si="7"/>
        <v/>
      </c>
      <c r="H207" s="6"/>
    </row>
    <row r="208" spans="1:8" x14ac:dyDescent="0.25">
      <c r="A208" s="13" t="s">
        <v>234</v>
      </c>
      <c r="B208" s="13"/>
      <c r="C208" s="6"/>
      <c r="D208" s="6"/>
      <c r="E208" s="8"/>
      <c r="F208" s="8" t="str">
        <f t="shared" si="6"/>
        <v/>
      </c>
      <c r="G208" s="13" t="str">
        <f t="shared" si="7"/>
        <v/>
      </c>
      <c r="H208" s="6"/>
    </row>
    <row r="209" spans="1:8" x14ac:dyDescent="0.25">
      <c r="A209" s="13" t="s">
        <v>235</v>
      </c>
      <c r="B209" s="13"/>
      <c r="C209" s="6"/>
      <c r="D209" s="6"/>
      <c r="E209" s="8"/>
      <c r="F209" s="8" t="str">
        <f t="shared" si="6"/>
        <v/>
      </c>
      <c r="G209" s="13" t="str">
        <f t="shared" si="7"/>
        <v/>
      </c>
      <c r="H209" s="6"/>
    </row>
    <row r="210" spans="1:8" x14ac:dyDescent="0.25">
      <c r="A210" s="13" t="s">
        <v>236</v>
      </c>
      <c r="B210" s="13"/>
      <c r="C210" s="6"/>
      <c r="D210" s="6"/>
      <c r="E210" s="8"/>
      <c r="F210" s="8" t="str">
        <f t="shared" si="6"/>
        <v/>
      </c>
      <c r="G210" s="13" t="str">
        <f t="shared" si="7"/>
        <v/>
      </c>
      <c r="H210" s="6"/>
    </row>
    <row r="211" spans="1:8" x14ac:dyDescent="0.25">
      <c r="A211" s="13" t="s">
        <v>237</v>
      </c>
      <c r="B211" s="13"/>
      <c r="C211" s="6"/>
      <c r="D211" s="6"/>
      <c r="E211" s="8"/>
      <c r="F211" s="8" t="str">
        <f t="shared" si="6"/>
        <v/>
      </c>
      <c r="G211" s="13" t="str">
        <f t="shared" si="7"/>
        <v/>
      </c>
      <c r="H211" s="6"/>
    </row>
    <row r="212" spans="1:8" x14ac:dyDescent="0.25">
      <c r="A212" s="13" t="s">
        <v>238</v>
      </c>
      <c r="B212" s="13"/>
      <c r="C212" s="6"/>
      <c r="D212" s="6"/>
      <c r="E212" s="8"/>
      <c r="F212" s="8" t="str">
        <f t="shared" si="6"/>
        <v/>
      </c>
      <c r="G212" s="13" t="str">
        <f t="shared" si="7"/>
        <v/>
      </c>
      <c r="H212" s="6"/>
    </row>
    <row r="213" spans="1:8" x14ac:dyDescent="0.25">
      <c r="A213" s="13" t="s">
        <v>239</v>
      </c>
      <c r="B213" s="13"/>
      <c r="C213" s="6"/>
      <c r="D213" s="6"/>
      <c r="E213" s="8"/>
      <c r="F213" s="8" t="str">
        <f t="shared" si="6"/>
        <v/>
      </c>
      <c r="G213" s="13" t="str">
        <f t="shared" si="7"/>
        <v/>
      </c>
      <c r="H213" s="6"/>
    </row>
    <row r="214" spans="1:8" x14ac:dyDescent="0.25">
      <c r="A214" s="13" t="s">
        <v>240</v>
      </c>
      <c r="B214" s="13"/>
      <c r="C214" s="6"/>
      <c r="D214" s="6"/>
      <c r="E214" s="8"/>
      <c r="F214" s="8" t="str">
        <f t="shared" si="6"/>
        <v/>
      </c>
      <c r="G214" s="13" t="str">
        <f t="shared" si="7"/>
        <v/>
      </c>
      <c r="H214" s="6"/>
    </row>
    <row r="215" spans="1:8" x14ac:dyDescent="0.25">
      <c r="A215" s="13" t="s">
        <v>241</v>
      </c>
      <c r="B215" s="13"/>
      <c r="C215" s="6"/>
      <c r="D215" s="6"/>
      <c r="E215" s="8"/>
      <c r="F215" s="8" t="str">
        <f t="shared" si="6"/>
        <v/>
      </c>
      <c r="G215" s="13" t="str">
        <f t="shared" si="7"/>
        <v/>
      </c>
      <c r="H215" s="6"/>
    </row>
    <row r="216" spans="1:8" x14ac:dyDescent="0.25">
      <c r="A216" s="13" t="s">
        <v>242</v>
      </c>
      <c r="B216" s="13"/>
      <c r="C216" s="6"/>
      <c r="D216" s="6"/>
      <c r="E216" s="8"/>
      <c r="F216" s="8" t="str">
        <f t="shared" si="6"/>
        <v/>
      </c>
      <c r="G216" s="13" t="str">
        <f t="shared" si="7"/>
        <v/>
      </c>
      <c r="H216" s="6"/>
    </row>
    <row r="217" spans="1:8" x14ac:dyDescent="0.25">
      <c r="A217" s="13" t="s">
        <v>243</v>
      </c>
      <c r="B217" s="13"/>
      <c r="C217" s="6"/>
      <c r="D217" s="6"/>
      <c r="E217" s="8"/>
      <c r="F217" s="8" t="str">
        <f t="shared" si="6"/>
        <v/>
      </c>
      <c r="G217" s="13" t="str">
        <f t="shared" si="7"/>
        <v/>
      </c>
      <c r="H217" s="6"/>
    </row>
    <row r="218" spans="1:8" x14ac:dyDescent="0.25">
      <c r="A218" s="13" t="s">
        <v>244</v>
      </c>
      <c r="B218" s="13"/>
      <c r="C218" s="6"/>
      <c r="D218" s="6"/>
      <c r="E218" s="8"/>
      <c r="F218" s="8" t="str">
        <f t="shared" si="6"/>
        <v/>
      </c>
      <c r="G218" s="13" t="str">
        <f t="shared" si="7"/>
        <v/>
      </c>
      <c r="H218" s="6"/>
    </row>
    <row r="219" spans="1:8" x14ac:dyDescent="0.25">
      <c r="A219" s="13" t="s">
        <v>245</v>
      </c>
      <c r="B219" s="13"/>
      <c r="C219" s="6"/>
      <c r="D219" s="6"/>
      <c r="E219" s="8"/>
      <c r="F219" s="8" t="str">
        <f t="shared" si="6"/>
        <v/>
      </c>
      <c r="G219" s="13" t="str">
        <f t="shared" si="7"/>
        <v/>
      </c>
      <c r="H219" s="6"/>
    </row>
    <row r="220" spans="1:8" x14ac:dyDescent="0.25">
      <c r="A220" s="13" t="s">
        <v>246</v>
      </c>
      <c r="B220" s="13"/>
      <c r="C220" s="6"/>
      <c r="D220" s="6"/>
      <c r="E220" s="8"/>
      <c r="F220" s="8" t="str">
        <f t="shared" si="6"/>
        <v/>
      </c>
      <c r="G220" s="13" t="str">
        <f t="shared" si="7"/>
        <v/>
      </c>
      <c r="H220" s="6"/>
    </row>
    <row r="221" spans="1:8" x14ac:dyDescent="0.25">
      <c r="A221" s="13" t="s">
        <v>247</v>
      </c>
      <c r="B221" s="13"/>
      <c r="C221" s="6"/>
      <c r="D221" s="6"/>
      <c r="E221" s="8"/>
      <c r="F221" s="8" t="str">
        <f t="shared" si="6"/>
        <v/>
      </c>
      <c r="G221" s="13" t="str">
        <f t="shared" si="7"/>
        <v/>
      </c>
      <c r="H221" s="6"/>
    </row>
    <row r="222" spans="1:8" x14ac:dyDescent="0.25">
      <c r="A222" s="13" t="s">
        <v>248</v>
      </c>
      <c r="B222" s="13"/>
      <c r="C222" s="6"/>
      <c r="D222" s="6"/>
      <c r="E222" s="8"/>
      <c r="F222" s="8" t="str">
        <f t="shared" si="6"/>
        <v/>
      </c>
      <c r="G222" s="13" t="str">
        <f t="shared" si="7"/>
        <v/>
      </c>
      <c r="H222" s="6"/>
    </row>
    <row r="223" spans="1:8" x14ac:dyDescent="0.25">
      <c r="A223" s="13" t="s">
        <v>249</v>
      </c>
      <c r="B223" s="13"/>
      <c r="C223" s="6"/>
      <c r="D223" s="6"/>
      <c r="E223" s="8"/>
      <c r="F223" s="8" t="str">
        <f t="shared" si="6"/>
        <v/>
      </c>
      <c r="G223" s="13" t="str">
        <f t="shared" si="7"/>
        <v/>
      </c>
      <c r="H223" s="6"/>
    </row>
    <row r="224" spans="1:8" x14ac:dyDescent="0.25">
      <c r="A224" s="13" t="s">
        <v>250</v>
      </c>
      <c r="B224" s="13"/>
      <c r="C224" s="6"/>
      <c r="D224" s="6"/>
      <c r="E224" s="8"/>
      <c r="F224" s="8" t="str">
        <f t="shared" si="6"/>
        <v/>
      </c>
      <c r="G224" s="13" t="str">
        <f t="shared" si="7"/>
        <v/>
      </c>
      <c r="H224" s="6"/>
    </row>
    <row r="225" spans="1:8" x14ac:dyDescent="0.25">
      <c r="A225" s="13" t="s">
        <v>251</v>
      </c>
      <c r="B225" s="13"/>
      <c r="C225" s="6"/>
      <c r="D225" s="6"/>
      <c r="E225" s="8"/>
      <c r="F225" s="8" t="str">
        <f t="shared" si="6"/>
        <v/>
      </c>
      <c r="G225" s="13" t="str">
        <f t="shared" si="7"/>
        <v/>
      </c>
      <c r="H225" s="6"/>
    </row>
    <row r="226" spans="1:8" x14ac:dyDescent="0.25">
      <c r="A226" s="13" t="s">
        <v>252</v>
      </c>
      <c r="B226" s="13"/>
      <c r="C226" s="6"/>
      <c r="D226" s="6"/>
      <c r="E226" s="8"/>
      <c r="F226" s="8" t="str">
        <f t="shared" si="6"/>
        <v/>
      </c>
      <c r="G226" s="13" t="str">
        <f t="shared" si="7"/>
        <v/>
      </c>
      <c r="H226" s="6"/>
    </row>
    <row r="227" spans="1:8" x14ac:dyDescent="0.25">
      <c r="A227" s="13" t="s">
        <v>253</v>
      </c>
      <c r="B227" s="13"/>
      <c r="C227" s="6"/>
      <c r="D227" s="6"/>
      <c r="E227" s="8"/>
      <c r="F227" s="8" t="str">
        <f t="shared" si="6"/>
        <v/>
      </c>
      <c r="G227" s="13" t="str">
        <f t="shared" si="7"/>
        <v/>
      </c>
      <c r="H227" s="6"/>
    </row>
    <row r="228" spans="1:8" x14ac:dyDescent="0.25">
      <c r="A228" s="13" t="s">
        <v>254</v>
      </c>
      <c r="B228" s="13"/>
      <c r="C228" s="6"/>
      <c r="D228" s="6"/>
      <c r="E228" s="8"/>
      <c r="F228" s="8" t="str">
        <f t="shared" si="6"/>
        <v/>
      </c>
      <c r="G228" s="13" t="str">
        <f t="shared" si="7"/>
        <v/>
      </c>
      <c r="H228" s="6"/>
    </row>
    <row r="229" spans="1:8" x14ac:dyDescent="0.25">
      <c r="A229" s="13" t="s">
        <v>255</v>
      </c>
      <c r="B229" s="13"/>
      <c r="C229" s="6"/>
      <c r="D229" s="6"/>
      <c r="E229" s="8"/>
      <c r="F229" s="8" t="str">
        <f t="shared" si="6"/>
        <v/>
      </c>
      <c r="G229" s="13" t="str">
        <f t="shared" si="7"/>
        <v/>
      </c>
      <c r="H229" s="6"/>
    </row>
    <row r="230" spans="1:8" x14ac:dyDescent="0.25">
      <c r="A230" s="13" t="s">
        <v>256</v>
      </c>
      <c r="B230" s="13"/>
      <c r="C230" s="6"/>
      <c r="D230" s="6"/>
      <c r="E230" s="8"/>
      <c r="F230" s="8" t="str">
        <f t="shared" si="6"/>
        <v/>
      </c>
      <c r="G230" s="13" t="str">
        <f t="shared" si="7"/>
        <v/>
      </c>
      <c r="H230" s="6"/>
    </row>
    <row r="231" spans="1:8" x14ac:dyDescent="0.25">
      <c r="A231" s="13" t="s">
        <v>257</v>
      </c>
      <c r="B231" s="13"/>
      <c r="C231" s="6"/>
      <c r="D231" s="6"/>
      <c r="E231" s="8"/>
      <c r="F231" s="8" t="str">
        <f t="shared" si="6"/>
        <v/>
      </c>
      <c r="G231" s="13" t="str">
        <f t="shared" si="7"/>
        <v/>
      </c>
      <c r="H231" s="6"/>
    </row>
    <row r="232" spans="1:8" x14ac:dyDescent="0.25">
      <c r="A232" s="13" t="s">
        <v>258</v>
      </c>
      <c r="B232" s="13"/>
      <c r="C232" s="6"/>
      <c r="D232" s="6"/>
      <c r="E232" s="8"/>
      <c r="F232" s="8" t="str">
        <f t="shared" si="6"/>
        <v/>
      </c>
      <c r="G232" s="13" t="str">
        <f t="shared" si="7"/>
        <v/>
      </c>
      <c r="H232" s="6"/>
    </row>
    <row r="233" spans="1:8" x14ac:dyDescent="0.25">
      <c r="A233" s="13" t="s">
        <v>259</v>
      </c>
      <c r="B233" s="13"/>
      <c r="C233" s="6"/>
      <c r="D233" s="6"/>
      <c r="E233" s="8"/>
      <c r="F233" s="8" t="str">
        <f t="shared" si="6"/>
        <v/>
      </c>
      <c r="G233" s="13" t="str">
        <f t="shared" si="7"/>
        <v/>
      </c>
      <c r="H233" s="6"/>
    </row>
    <row r="234" spans="1:8" x14ac:dyDescent="0.25">
      <c r="A234" s="13" t="s">
        <v>260</v>
      </c>
      <c r="B234" s="13"/>
      <c r="C234" s="6"/>
      <c r="D234" s="6"/>
      <c r="E234" s="8"/>
      <c r="F234" s="8" t="str">
        <f t="shared" si="6"/>
        <v/>
      </c>
      <c r="G234" s="13" t="str">
        <f t="shared" si="7"/>
        <v/>
      </c>
      <c r="H234" s="6"/>
    </row>
    <row r="235" spans="1:8" x14ac:dyDescent="0.25">
      <c r="A235" s="13" t="s">
        <v>261</v>
      </c>
      <c r="B235" s="13"/>
      <c r="C235" s="6"/>
      <c r="D235" s="6"/>
      <c r="E235" s="8"/>
      <c r="F235" s="8" t="str">
        <f t="shared" si="6"/>
        <v/>
      </c>
      <c r="G235" s="13" t="str">
        <f t="shared" si="7"/>
        <v/>
      </c>
      <c r="H235" s="6"/>
    </row>
    <row r="236" spans="1:8" x14ac:dyDescent="0.25">
      <c r="A236" s="13" t="s">
        <v>262</v>
      </c>
      <c r="B236" s="13"/>
      <c r="C236" s="6"/>
      <c r="D236" s="6"/>
      <c r="E236" s="8"/>
      <c r="F236" s="8" t="str">
        <f t="shared" si="6"/>
        <v/>
      </c>
      <c r="G236" s="13" t="str">
        <f t="shared" si="7"/>
        <v/>
      </c>
      <c r="H236" s="6"/>
    </row>
    <row r="237" spans="1:8" x14ac:dyDescent="0.25">
      <c r="A237" s="13" t="s">
        <v>263</v>
      </c>
      <c r="B237" s="13"/>
      <c r="C237" s="6"/>
      <c r="D237" s="6"/>
      <c r="E237" s="8"/>
      <c r="F237" s="8" t="str">
        <f t="shared" si="6"/>
        <v/>
      </c>
      <c r="G237" s="13" t="str">
        <f t="shared" si="7"/>
        <v/>
      </c>
      <c r="H237" s="6"/>
    </row>
    <row r="238" spans="1:8" x14ac:dyDescent="0.25">
      <c r="A238" s="13" t="s">
        <v>264</v>
      </c>
      <c r="B238" s="13"/>
      <c r="C238" s="6"/>
      <c r="D238" s="6"/>
      <c r="E238" s="8"/>
      <c r="F238" s="8" t="str">
        <f t="shared" si="6"/>
        <v/>
      </c>
      <c r="G238" s="13" t="str">
        <f t="shared" si="7"/>
        <v/>
      </c>
      <c r="H238" s="6"/>
    </row>
    <row r="239" spans="1:8" x14ac:dyDescent="0.25">
      <c r="A239" s="13" t="s">
        <v>265</v>
      </c>
      <c r="B239" s="13"/>
      <c r="C239" s="6"/>
      <c r="D239" s="6"/>
      <c r="E239" s="8"/>
      <c r="F239" s="8" t="str">
        <f t="shared" si="6"/>
        <v/>
      </c>
      <c r="G239" s="13" t="str">
        <f t="shared" si="7"/>
        <v/>
      </c>
      <c r="H239" s="6"/>
    </row>
    <row r="240" spans="1:8" x14ac:dyDescent="0.25">
      <c r="A240" s="13" t="s">
        <v>266</v>
      </c>
      <c r="B240" s="13"/>
      <c r="C240" s="6"/>
      <c r="D240" s="6"/>
      <c r="E240" s="8"/>
      <c r="F240" s="8" t="str">
        <f t="shared" si="6"/>
        <v/>
      </c>
      <c r="G240" s="13" t="str">
        <f t="shared" si="7"/>
        <v/>
      </c>
      <c r="H240" s="6"/>
    </row>
    <row r="241" spans="1:8" x14ac:dyDescent="0.25">
      <c r="A241" s="13" t="s">
        <v>267</v>
      </c>
      <c r="B241" s="13"/>
      <c r="C241" s="6"/>
      <c r="D241" s="6"/>
      <c r="E241" s="8"/>
      <c r="F241" s="8" t="str">
        <f t="shared" si="6"/>
        <v/>
      </c>
      <c r="G241" s="13" t="str">
        <f t="shared" si="7"/>
        <v/>
      </c>
      <c r="H241" s="6"/>
    </row>
    <row r="242" spans="1:8" x14ac:dyDescent="0.25">
      <c r="A242" s="13" t="s">
        <v>268</v>
      </c>
      <c r="B242" s="13"/>
      <c r="C242" s="6"/>
      <c r="D242" s="6"/>
      <c r="E242" s="8"/>
      <c r="F242" s="8" t="str">
        <f t="shared" si="6"/>
        <v/>
      </c>
      <c r="G242" s="13" t="str">
        <f t="shared" si="7"/>
        <v/>
      </c>
      <c r="H242" s="6"/>
    </row>
    <row r="243" spans="1:8" x14ac:dyDescent="0.25">
      <c r="A243" s="13" t="s">
        <v>269</v>
      </c>
      <c r="B243" s="13"/>
      <c r="C243" s="6"/>
      <c r="D243" s="6"/>
      <c r="E243" s="8"/>
      <c r="F243" s="8" t="str">
        <f t="shared" si="6"/>
        <v/>
      </c>
      <c r="G243" s="13" t="str">
        <f t="shared" si="7"/>
        <v/>
      </c>
      <c r="H243" s="6"/>
    </row>
    <row r="244" spans="1:8" x14ac:dyDescent="0.25">
      <c r="A244" s="13" t="s">
        <v>270</v>
      </c>
      <c r="B244" s="13"/>
      <c r="C244" s="6"/>
      <c r="D244" s="6"/>
      <c r="E244" s="8"/>
      <c r="F244" s="8" t="str">
        <f t="shared" si="6"/>
        <v/>
      </c>
      <c r="G244" s="13" t="str">
        <f t="shared" si="7"/>
        <v/>
      </c>
      <c r="H244" s="6"/>
    </row>
    <row r="245" spans="1:8" x14ac:dyDescent="0.25">
      <c r="A245" s="13" t="s">
        <v>271</v>
      </c>
      <c r="B245" s="13"/>
      <c r="C245" s="6"/>
      <c r="D245" s="6"/>
      <c r="E245" s="8"/>
      <c r="F245" s="8" t="str">
        <f t="shared" si="6"/>
        <v/>
      </c>
      <c r="G245" s="13" t="str">
        <f t="shared" si="7"/>
        <v/>
      </c>
      <c r="H245" s="6"/>
    </row>
    <row r="246" spans="1:8" x14ac:dyDescent="0.25">
      <c r="A246" s="13" t="s">
        <v>272</v>
      </c>
      <c r="B246" s="13"/>
      <c r="C246" s="6"/>
      <c r="D246" s="6"/>
      <c r="E246" s="8"/>
      <c r="F246" s="8" t="str">
        <f t="shared" si="6"/>
        <v/>
      </c>
      <c r="G246" s="13" t="str">
        <f t="shared" si="7"/>
        <v/>
      </c>
      <c r="H246" s="6"/>
    </row>
    <row r="247" spans="1:8" x14ac:dyDescent="0.25">
      <c r="A247" s="13" t="s">
        <v>273</v>
      </c>
      <c r="B247" s="13"/>
      <c r="C247" s="6"/>
      <c r="D247" s="6"/>
      <c r="E247" s="8"/>
      <c r="F247" s="8" t="str">
        <f t="shared" si="6"/>
        <v/>
      </c>
      <c r="G247" s="13" t="str">
        <f t="shared" si="7"/>
        <v/>
      </c>
      <c r="H247" s="6"/>
    </row>
    <row r="248" spans="1:8" x14ac:dyDescent="0.25">
      <c r="A248" s="13" t="s">
        <v>274</v>
      </c>
      <c r="B248" s="13"/>
      <c r="C248" s="6"/>
      <c r="D248" s="6"/>
      <c r="E248" s="8"/>
      <c r="F248" s="8" t="str">
        <f t="shared" si="6"/>
        <v/>
      </c>
      <c r="G248" s="13" t="str">
        <f t="shared" si="7"/>
        <v/>
      </c>
      <c r="H248" s="6"/>
    </row>
    <row r="249" spans="1:8" x14ac:dyDescent="0.25">
      <c r="A249" s="13" t="s">
        <v>275</v>
      </c>
      <c r="B249" s="13"/>
      <c r="C249" s="6"/>
      <c r="D249" s="6"/>
      <c r="E249" s="8"/>
      <c r="F249" s="8" t="str">
        <f t="shared" si="6"/>
        <v/>
      </c>
      <c r="G249" s="13" t="str">
        <f t="shared" si="7"/>
        <v/>
      </c>
      <c r="H249" s="6"/>
    </row>
    <row r="250" spans="1:8" x14ac:dyDescent="0.25">
      <c r="A250" s="13" t="s">
        <v>276</v>
      </c>
      <c r="B250" s="13"/>
      <c r="C250" s="6"/>
      <c r="D250" s="6"/>
      <c r="E250" s="8"/>
      <c r="F250" s="8" t="str">
        <f t="shared" si="6"/>
        <v/>
      </c>
      <c r="G250" s="13" t="str">
        <f t="shared" si="7"/>
        <v/>
      </c>
      <c r="H250" s="6"/>
    </row>
    <row r="251" spans="1:8" x14ac:dyDescent="0.25">
      <c r="A251" s="13" t="s">
        <v>277</v>
      </c>
      <c r="B251" s="13"/>
      <c r="C251" s="6"/>
      <c r="D251" s="6"/>
      <c r="E251" s="8"/>
      <c r="F251" s="8" t="str">
        <f t="shared" si="6"/>
        <v/>
      </c>
      <c r="G251" s="13" t="str">
        <f t="shared" si="7"/>
        <v/>
      </c>
      <c r="H251" s="6"/>
    </row>
    <row r="252" spans="1:8" x14ac:dyDescent="0.25">
      <c r="A252" s="13" t="s">
        <v>278</v>
      </c>
      <c r="B252" s="13"/>
      <c r="C252" s="6"/>
      <c r="D252" s="6"/>
      <c r="E252" s="8"/>
      <c r="F252" s="8" t="str">
        <f t="shared" si="6"/>
        <v/>
      </c>
      <c r="G252" s="13" t="str">
        <f t="shared" si="7"/>
        <v/>
      </c>
      <c r="H252" s="6"/>
    </row>
    <row r="253" spans="1:8" x14ac:dyDescent="0.25">
      <c r="A253" s="13" t="s">
        <v>279</v>
      </c>
      <c r="B253" s="13"/>
      <c r="C253" s="6"/>
      <c r="D253" s="6"/>
      <c r="E253" s="8"/>
      <c r="F253" s="8" t="str">
        <f t="shared" si="6"/>
        <v/>
      </c>
      <c r="G253" s="13" t="str">
        <f t="shared" si="7"/>
        <v/>
      </c>
      <c r="H253" s="6"/>
    </row>
    <row r="254" spans="1:8" x14ac:dyDescent="0.25">
      <c r="A254" s="13" t="s">
        <v>280</v>
      </c>
      <c r="B254" s="13"/>
      <c r="C254" s="6"/>
      <c r="D254" s="6"/>
      <c r="E254" s="8"/>
      <c r="F254" s="8" t="str">
        <f t="shared" si="6"/>
        <v/>
      </c>
      <c r="G254" s="13" t="str">
        <f t="shared" si="7"/>
        <v/>
      </c>
      <c r="H254" s="6"/>
    </row>
    <row r="255" spans="1:8" x14ac:dyDescent="0.25">
      <c r="A255" s="13" t="s">
        <v>281</v>
      </c>
      <c r="B255" s="13"/>
      <c r="C255" s="6"/>
      <c r="D255" s="6"/>
      <c r="E255" s="8"/>
      <c r="F255" s="8" t="str">
        <f t="shared" si="6"/>
        <v/>
      </c>
      <c r="G255" s="13" t="str">
        <f t="shared" si="7"/>
        <v/>
      </c>
      <c r="H255" s="6"/>
    </row>
    <row r="256" spans="1:8" x14ac:dyDescent="0.25">
      <c r="A256" s="13" t="s">
        <v>282</v>
      </c>
      <c r="B256" s="13"/>
      <c r="C256" s="6"/>
      <c r="D256" s="6"/>
      <c r="E256" s="8"/>
      <c r="F256" s="8" t="str">
        <f t="shared" si="6"/>
        <v/>
      </c>
      <c r="G256" s="13" t="str">
        <f t="shared" si="7"/>
        <v/>
      </c>
      <c r="H256" s="6"/>
    </row>
    <row r="257" spans="1:8" x14ac:dyDescent="0.25">
      <c r="A257" s="13" t="s">
        <v>283</v>
      </c>
      <c r="B257" s="13"/>
      <c r="C257" s="6"/>
      <c r="D257" s="6"/>
      <c r="E257" s="8"/>
      <c r="F257" s="8" t="str">
        <f t="shared" si="6"/>
        <v/>
      </c>
      <c r="G257" s="13" t="str">
        <f t="shared" si="7"/>
        <v/>
      </c>
      <c r="H257" s="6"/>
    </row>
    <row r="258" spans="1:8" x14ac:dyDescent="0.25">
      <c r="A258" s="13" t="s">
        <v>284</v>
      </c>
      <c r="B258" s="13"/>
      <c r="C258" s="6"/>
      <c r="D258" s="6"/>
      <c r="E258" s="8"/>
      <c r="F258" s="8" t="str">
        <f t="shared" si="6"/>
        <v/>
      </c>
      <c r="G258" s="13" t="str">
        <f t="shared" si="7"/>
        <v/>
      </c>
      <c r="H258" s="6"/>
    </row>
    <row r="259" spans="1:8" x14ac:dyDescent="0.25">
      <c r="A259" s="13" t="s">
        <v>285</v>
      </c>
      <c r="B259" s="13"/>
      <c r="C259" s="6"/>
      <c r="D259" s="6"/>
      <c r="E259" s="8"/>
      <c r="F259" s="8" t="str">
        <f t="shared" si="6"/>
        <v/>
      </c>
      <c r="G259" s="13" t="str">
        <f t="shared" si="7"/>
        <v/>
      </c>
      <c r="H259" s="6"/>
    </row>
    <row r="260" spans="1:8" x14ac:dyDescent="0.25">
      <c r="A260" s="13" t="s">
        <v>286</v>
      </c>
      <c r="B260" s="13"/>
      <c r="C260" s="6"/>
      <c r="D260" s="6"/>
      <c r="E260" s="8"/>
      <c r="F260" s="8" t="str">
        <f t="shared" si="6"/>
        <v/>
      </c>
      <c r="G260" s="13" t="str">
        <f t="shared" si="7"/>
        <v/>
      </c>
      <c r="H260" s="6"/>
    </row>
    <row r="261" spans="1:8" x14ac:dyDescent="0.25">
      <c r="A261" s="13" t="s">
        <v>287</v>
      </c>
      <c r="B261" s="13"/>
      <c r="C261" s="6"/>
      <c r="D261" s="6"/>
      <c r="E261" s="8"/>
      <c r="F261" s="8" t="str">
        <f t="shared" si="6"/>
        <v/>
      </c>
      <c r="G261" s="13" t="str">
        <f t="shared" si="7"/>
        <v/>
      </c>
      <c r="H261" s="6"/>
    </row>
    <row r="262" spans="1:8" x14ac:dyDescent="0.25">
      <c r="A262" s="13" t="s">
        <v>288</v>
      </c>
      <c r="B262" s="13"/>
      <c r="C262" s="6"/>
      <c r="D262" s="6"/>
      <c r="E262" s="8"/>
      <c r="F262" s="8" t="str">
        <f t="shared" si="6"/>
        <v/>
      </c>
      <c r="G262" s="13" t="str">
        <f t="shared" si="7"/>
        <v/>
      </c>
      <c r="H262" s="6"/>
    </row>
    <row r="263" spans="1:8" x14ac:dyDescent="0.25">
      <c r="A263" s="13" t="s">
        <v>289</v>
      </c>
      <c r="B263" s="13"/>
      <c r="C263" s="6"/>
      <c r="D263" s="6"/>
      <c r="E263" s="8"/>
      <c r="F263" s="8" t="str">
        <f t="shared" ref="F263:F326" si="8">IF(OR(E263="",E263=0), "", IF(ISNUMBER(F262), F262+E263, E263))</f>
        <v/>
      </c>
      <c r="G263" s="13" t="str">
        <f t="shared" ref="G263:G326" si="9">IF(OR(E263="",E263=0), "", "✓ Received &amp; Logged")</f>
        <v/>
      </c>
      <c r="H263" s="6"/>
    </row>
    <row r="264" spans="1:8" x14ac:dyDescent="0.25">
      <c r="A264" s="13" t="s">
        <v>290</v>
      </c>
      <c r="B264" s="13"/>
      <c r="C264" s="6"/>
      <c r="D264" s="6"/>
      <c r="E264" s="8"/>
      <c r="F264" s="8" t="str">
        <f t="shared" si="8"/>
        <v/>
      </c>
      <c r="G264" s="13" t="str">
        <f t="shared" si="9"/>
        <v/>
      </c>
      <c r="H264" s="6"/>
    </row>
    <row r="265" spans="1:8" x14ac:dyDescent="0.25">
      <c r="A265" s="13" t="s">
        <v>291</v>
      </c>
      <c r="B265" s="13"/>
      <c r="C265" s="6"/>
      <c r="D265" s="6"/>
      <c r="E265" s="8"/>
      <c r="F265" s="8" t="str">
        <f t="shared" si="8"/>
        <v/>
      </c>
      <c r="G265" s="13" t="str">
        <f t="shared" si="9"/>
        <v/>
      </c>
      <c r="H265" s="6"/>
    </row>
    <row r="266" spans="1:8" x14ac:dyDescent="0.25">
      <c r="A266" s="13" t="s">
        <v>292</v>
      </c>
      <c r="B266" s="13"/>
      <c r="C266" s="6"/>
      <c r="D266" s="6"/>
      <c r="E266" s="8"/>
      <c r="F266" s="8" t="str">
        <f t="shared" si="8"/>
        <v/>
      </c>
      <c r="G266" s="13" t="str">
        <f t="shared" si="9"/>
        <v/>
      </c>
      <c r="H266" s="6"/>
    </row>
    <row r="267" spans="1:8" x14ac:dyDescent="0.25">
      <c r="A267" s="13" t="s">
        <v>293</v>
      </c>
      <c r="B267" s="13"/>
      <c r="C267" s="6"/>
      <c r="D267" s="6"/>
      <c r="E267" s="8"/>
      <c r="F267" s="8" t="str">
        <f t="shared" si="8"/>
        <v/>
      </c>
      <c r="G267" s="13" t="str">
        <f t="shared" si="9"/>
        <v/>
      </c>
      <c r="H267" s="6"/>
    </row>
    <row r="268" spans="1:8" x14ac:dyDescent="0.25">
      <c r="A268" s="13" t="s">
        <v>294</v>
      </c>
      <c r="B268" s="13"/>
      <c r="C268" s="6"/>
      <c r="D268" s="6"/>
      <c r="E268" s="8"/>
      <c r="F268" s="8" t="str">
        <f t="shared" si="8"/>
        <v/>
      </c>
      <c r="G268" s="13" t="str">
        <f t="shared" si="9"/>
        <v/>
      </c>
      <c r="H268" s="6"/>
    </row>
    <row r="269" spans="1:8" x14ac:dyDescent="0.25">
      <c r="A269" s="13" t="s">
        <v>295</v>
      </c>
      <c r="B269" s="13"/>
      <c r="C269" s="6"/>
      <c r="D269" s="6"/>
      <c r="E269" s="8"/>
      <c r="F269" s="8" t="str">
        <f t="shared" si="8"/>
        <v/>
      </c>
      <c r="G269" s="13" t="str">
        <f t="shared" si="9"/>
        <v/>
      </c>
      <c r="H269" s="6"/>
    </row>
    <row r="270" spans="1:8" x14ac:dyDescent="0.25">
      <c r="A270" s="13" t="s">
        <v>296</v>
      </c>
      <c r="B270" s="13"/>
      <c r="C270" s="6"/>
      <c r="D270" s="6"/>
      <c r="E270" s="8"/>
      <c r="F270" s="8" t="str">
        <f t="shared" si="8"/>
        <v/>
      </c>
      <c r="G270" s="13" t="str">
        <f t="shared" si="9"/>
        <v/>
      </c>
      <c r="H270" s="6"/>
    </row>
    <row r="271" spans="1:8" x14ac:dyDescent="0.25">
      <c r="A271" s="13" t="s">
        <v>297</v>
      </c>
      <c r="B271" s="13"/>
      <c r="C271" s="6"/>
      <c r="D271" s="6"/>
      <c r="E271" s="8"/>
      <c r="F271" s="8" t="str">
        <f t="shared" si="8"/>
        <v/>
      </c>
      <c r="G271" s="13" t="str">
        <f t="shared" si="9"/>
        <v/>
      </c>
      <c r="H271" s="6"/>
    </row>
    <row r="272" spans="1:8" x14ac:dyDescent="0.25">
      <c r="A272" s="13" t="s">
        <v>298</v>
      </c>
      <c r="B272" s="13"/>
      <c r="C272" s="6"/>
      <c r="D272" s="6"/>
      <c r="E272" s="8"/>
      <c r="F272" s="8" t="str">
        <f t="shared" si="8"/>
        <v/>
      </c>
      <c r="G272" s="13" t="str">
        <f t="shared" si="9"/>
        <v/>
      </c>
      <c r="H272" s="6"/>
    </row>
    <row r="273" spans="1:8" x14ac:dyDescent="0.25">
      <c r="A273" s="13" t="s">
        <v>299</v>
      </c>
      <c r="B273" s="13"/>
      <c r="C273" s="6"/>
      <c r="D273" s="6"/>
      <c r="E273" s="8"/>
      <c r="F273" s="8" t="str">
        <f t="shared" si="8"/>
        <v/>
      </c>
      <c r="G273" s="13" t="str">
        <f t="shared" si="9"/>
        <v/>
      </c>
      <c r="H273" s="6"/>
    </row>
    <row r="274" spans="1:8" x14ac:dyDescent="0.25">
      <c r="A274" s="13" t="s">
        <v>300</v>
      </c>
      <c r="B274" s="13"/>
      <c r="C274" s="6"/>
      <c r="D274" s="6"/>
      <c r="E274" s="8"/>
      <c r="F274" s="8" t="str">
        <f t="shared" si="8"/>
        <v/>
      </c>
      <c r="G274" s="13" t="str">
        <f t="shared" si="9"/>
        <v/>
      </c>
      <c r="H274" s="6"/>
    </row>
    <row r="275" spans="1:8" x14ac:dyDescent="0.25">
      <c r="A275" s="13" t="s">
        <v>301</v>
      </c>
      <c r="B275" s="13"/>
      <c r="C275" s="6"/>
      <c r="D275" s="6"/>
      <c r="E275" s="8"/>
      <c r="F275" s="8" t="str">
        <f t="shared" si="8"/>
        <v/>
      </c>
      <c r="G275" s="13" t="str">
        <f t="shared" si="9"/>
        <v/>
      </c>
      <c r="H275" s="6"/>
    </row>
    <row r="276" spans="1:8" x14ac:dyDescent="0.25">
      <c r="A276" s="13" t="s">
        <v>302</v>
      </c>
      <c r="B276" s="13"/>
      <c r="C276" s="6"/>
      <c r="D276" s="6"/>
      <c r="E276" s="8"/>
      <c r="F276" s="8" t="str">
        <f t="shared" si="8"/>
        <v/>
      </c>
      <c r="G276" s="13" t="str">
        <f t="shared" si="9"/>
        <v/>
      </c>
      <c r="H276" s="6"/>
    </row>
    <row r="277" spans="1:8" x14ac:dyDescent="0.25">
      <c r="A277" s="13" t="s">
        <v>303</v>
      </c>
      <c r="B277" s="13"/>
      <c r="C277" s="6"/>
      <c r="D277" s="6"/>
      <c r="E277" s="8"/>
      <c r="F277" s="8" t="str">
        <f t="shared" si="8"/>
        <v/>
      </c>
      <c r="G277" s="13" t="str">
        <f t="shared" si="9"/>
        <v/>
      </c>
      <c r="H277" s="6"/>
    </row>
    <row r="278" spans="1:8" x14ac:dyDescent="0.25">
      <c r="A278" s="13" t="s">
        <v>304</v>
      </c>
      <c r="B278" s="13"/>
      <c r="C278" s="6"/>
      <c r="D278" s="6"/>
      <c r="E278" s="8"/>
      <c r="F278" s="8" t="str">
        <f t="shared" si="8"/>
        <v/>
      </c>
      <c r="G278" s="13" t="str">
        <f t="shared" si="9"/>
        <v/>
      </c>
      <c r="H278" s="6"/>
    </row>
    <row r="279" spans="1:8" x14ac:dyDescent="0.25">
      <c r="A279" s="13" t="s">
        <v>305</v>
      </c>
      <c r="B279" s="13"/>
      <c r="C279" s="6"/>
      <c r="D279" s="6"/>
      <c r="E279" s="8"/>
      <c r="F279" s="8" t="str">
        <f t="shared" si="8"/>
        <v/>
      </c>
      <c r="G279" s="13" t="str">
        <f t="shared" si="9"/>
        <v/>
      </c>
      <c r="H279" s="6"/>
    </row>
    <row r="280" spans="1:8" x14ac:dyDescent="0.25">
      <c r="A280" s="13" t="s">
        <v>306</v>
      </c>
      <c r="B280" s="13"/>
      <c r="C280" s="6"/>
      <c r="D280" s="6"/>
      <c r="E280" s="8"/>
      <c r="F280" s="8" t="str">
        <f t="shared" si="8"/>
        <v/>
      </c>
      <c r="G280" s="13" t="str">
        <f t="shared" si="9"/>
        <v/>
      </c>
      <c r="H280" s="6"/>
    </row>
    <row r="281" spans="1:8" x14ac:dyDescent="0.25">
      <c r="A281" s="13" t="s">
        <v>307</v>
      </c>
      <c r="B281" s="13"/>
      <c r="C281" s="6"/>
      <c r="D281" s="6"/>
      <c r="E281" s="8"/>
      <c r="F281" s="8" t="str">
        <f t="shared" si="8"/>
        <v/>
      </c>
      <c r="G281" s="13" t="str">
        <f t="shared" si="9"/>
        <v/>
      </c>
      <c r="H281" s="6"/>
    </row>
    <row r="282" spans="1:8" x14ac:dyDescent="0.25">
      <c r="A282" s="13" t="s">
        <v>308</v>
      </c>
      <c r="B282" s="13"/>
      <c r="C282" s="6"/>
      <c r="D282" s="6"/>
      <c r="E282" s="8"/>
      <c r="F282" s="8" t="str">
        <f t="shared" si="8"/>
        <v/>
      </c>
      <c r="G282" s="13" t="str">
        <f t="shared" si="9"/>
        <v/>
      </c>
      <c r="H282" s="6"/>
    </row>
    <row r="283" spans="1:8" x14ac:dyDescent="0.25">
      <c r="A283" s="13" t="s">
        <v>309</v>
      </c>
      <c r="B283" s="13"/>
      <c r="C283" s="6"/>
      <c r="D283" s="6"/>
      <c r="E283" s="8"/>
      <c r="F283" s="8" t="str">
        <f t="shared" si="8"/>
        <v/>
      </c>
      <c r="G283" s="13" t="str">
        <f t="shared" si="9"/>
        <v/>
      </c>
      <c r="H283" s="6"/>
    </row>
    <row r="284" spans="1:8" x14ac:dyDescent="0.25">
      <c r="A284" s="13" t="s">
        <v>310</v>
      </c>
      <c r="B284" s="13"/>
      <c r="C284" s="6"/>
      <c r="D284" s="6"/>
      <c r="E284" s="8"/>
      <c r="F284" s="8" t="str">
        <f t="shared" si="8"/>
        <v/>
      </c>
      <c r="G284" s="13" t="str">
        <f t="shared" si="9"/>
        <v/>
      </c>
      <c r="H284" s="6"/>
    </row>
    <row r="285" spans="1:8" x14ac:dyDescent="0.25">
      <c r="A285" s="13" t="s">
        <v>311</v>
      </c>
      <c r="B285" s="13"/>
      <c r="C285" s="6"/>
      <c r="D285" s="6"/>
      <c r="E285" s="8"/>
      <c r="F285" s="8" t="str">
        <f t="shared" si="8"/>
        <v/>
      </c>
      <c r="G285" s="13" t="str">
        <f t="shared" si="9"/>
        <v/>
      </c>
      <c r="H285" s="6"/>
    </row>
    <row r="286" spans="1:8" x14ac:dyDescent="0.25">
      <c r="A286" s="13" t="s">
        <v>312</v>
      </c>
      <c r="B286" s="13"/>
      <c r="C286" s="6"/>
      <c r="D286" s="6"/>
      <c r="E286" s="8"/>
      <c r="F286" s="8" t="str">
        <f t="shared" si="8"/>
        <v/>
      </c>
      <c r="G286" s="13" t="str">
        <f t="shared" si="9"/>
        <v/>
      </c>
      <c r="H286" s="6"/>
    </row>
    <row r="287" spans="1:8" x14ac:dyDescent="0.25">
      <c r="A287" s="13" t="s">
        <v>313</v>
      </c>
      <c r="B287" s="13"/>
      <c r="C287" s="6"/>
      <c r="D287" s="6"/>
      <c r="E287" s="8"/>
      <c r="F287" s="8" t="str">
        <f t="shared" si="8"/>
        <v/>
      </c>
      <c r="G287" s="13" t="str">
        <f t="shared" si="9"/>
        <v/>
      </c>
      <c r="H287" s="6"/>
    </row>
    <row r="288" spans="1:8" x14ac:dyDescent="0.25">
      <c r="A288" s="13" t="s">
        <v>314</v>
      </c>
      <c r="B288" s="13"/>
      <c r="C288" s="6"/>
      <c r="D288" s="6"/>
      <c r="E288" s="8"/>
      <c r="F288" s="8" t="str">
        <f t="shared" si="8"/>
        <v/>
      </c>
      <c r="G288" s="13" t="str">
        <f t="shared" si="9"/>
        <v/>
      </c>
      <c r="H288" s="6"/>
    </row>
    <row r="289" spans="1:8" x14ac:dyDescent="0.25">
      <c r="A289" s="13" t="s">
        <v>315</v>
      </c>
      <c r="B289" s="13"/>
      <c r="C289" s="6"/>
      <c r="D289" s="6"/>
      <c r="E289" s="8"/>
      <c r="F289" s="8" t="str">
        <f t="shared" si="8"/>
        <v/>
      </c>
      <c r="G289" s="13" t="str">
        <f t="shared" si="9"/>
        <v/>
      </c>
      <c r="H289" s="6"/>
    </row>
    <row r="290" spans="1:8" x14ac:dyDescent="0.25">
      <c r="A290" s="13" t="s">
        <v>316</v>
      </c>
      <c r="B290" s="13"/>
      <c r="C290" s="6"/>
      <c r="D290" s="6"/>
      <c r="E290" s="8"/>
      <c r="F290" s="8" t="str">
        <f t="shared" si="8"/>
        <v/>
      </c>
      <c r="G290" s="13" t="str">
        <f t="shared" si="9"/>
        <v/>
      </c>
      <c r="H290" s="6"/>
    </row>
    <row r="291" spans="1:8" x14ac:dyDescent="0.25">
      <c r="A291" s="13" t="s">
        <v>317</v>
      </c>
      <c r="B291" s="13"/>
      <c r="C291" s="6"/>
      <c r="D291" s="6"/>
      <c r="E291" s="8"/>
      <c r="F291" s="8" t="str">
        <f t="shared" si="8"/>
        <v/>
      </c>
      <c r="G291" s="13" t="str">
        <f t="shared" si="9"/>
        <v/>
      </c>
      <c r="H291" s="6"/>
    </row>
    <row r="292" spans="1:8" x14ac:dyDescent="0.25">
      <c r="A292" s="13" t="s">
        <v>318</v>
      </c>
      <c r="B292" s="13"/>
      <c r="C292" s="6"/>
      <c r="D292" s="6"/>
      <c r="E292" s="8"/>
      <c r="F292" s="8" t="str">
        <f t="shared" si="8"/>
        <v/>
      </c>
      <c r="G292" s="13" t="str">
        <f t="shared" si="9"/>
        <v/>
      </c>
      <c r="H292" s="6"/>
    </row>
    <row r="293" spans="1:8" x14ac:dyDescent="0.25">
      <c r="A293" s="13" t="s">
        <v>319</v>
      </c>
      <c r="B293" s="13"/>
      <c r="C293" s="6"/>
      <c r="D293" s="6"/>
      <c r="E293" s="8"/>
      <c r="F293" s="8" t="str">
        <f t="shared" si="8"/>
        <v/>
      </c>
      <c r="G293" s="13" t="str">
        <f t="shared" si="9"/>
        <v/>
      </c>
      <c r="H293" s="6"/>
    </row>
    <row r="294" spans="1:8" x14ac:dyDescent="0.25">
      <c r="A294" s="13" t="s">
        <v>320</v>
      </c>
      <c r="B294" s="13"/>
      <c r="C294" s="6"/>
      <c r="D294" s="6"/>
      <c r="E294" s="8"/>
      <c r="F294" s="8" t="str">
        <f t="shared" si="8"/>
        <v/>
      </c>
      <c r="G294" s="13" t="str">
        <f t="shared" si="9"/>
        <v/>
      </c>
      <c r="H294" s="6"/>
    </row>
    <row r="295" spans="1:8" x14ac:dyDescent="0.25">
      <c r="A295" s="13" t="s">
        <v>321</v>
      </c>
      <c r="B295" s="13"/>
      <c r="C295" s="6"/>
      <c r="D295" s="6"/>
      <c r="E295" s="8"/>
      <c r="F295" s="8" t="str">
        <f t="shared" si="8"/>
        <v/>
      </c>
      <c r="G295" s="13" t="str">
        <f t="shared" si="9"/>
        <v/>
      </c>
      <c r="H295" s="6"/>
    </row>
    <row r="296" spans="1:8" x14ac:dyDescent="0.25">
      <c r="A296" s="13" t="s">
        <v>322</v>
      </c>
      <c r="B296" s="13"/>
      <c r="C296" s="6"/>
      <c r="D296" s="6"/>
      <c r="E296" s="8"/>
      <c r="F296" s="8" t="str">
        <f t="shared" si="8"/>
        <v/>
      </c>
      <c r="G296" s="13" t="str">
        <f t="shared" si="9"/>
        <v/>
      </c>
      <c r="H296" s="6"/>
    </row>
    <row r="297" spans="1:8" x14ac:dyDescent="0.25">
      <c r="A297" s="13" t="s">
        <v>323</v>
      </c>
      <c r="B297" s="13"/>
      <c r="C297" s="6"/>
      <c r="D297" s="6"/>
      <c r="E297" s="8"/>
      <c r="F297" s="8" t="str">
        <f t="shared" si="8"/>
        <v/>
      </c>
      <c r="G297" s="13" t="str">
        <f t="shared" si="9"/>
        <v/>
      </c>
      <c r="H297" s="6"/>
    </row>
    <row r="298" spans="1:8" x14ac:dyDescent="0.25">
      <c r="A298" s="13" t="s">
        <v>324</v>
      </c>
      <c r="B298" s="13"/>
      <c r="C298" s="6"/>
      <c r="D298" s="6"/>
      <c r="E298" s="8"/>
      <c r="F298" s="8" t="str">
        <f t="shared" si="8"/>
        <v/>
      </c>
      <c r="G298" s="13" t="str">
        <f t="shared" si="9"/>
        <v/>
      </c>
      <c r="H298" s="6"/>
    </row>
    <row r="299" spans="1:8" x14ac:dyDescent="0.25">
      <c r="A299" s="13" t="s">
        <v>325</v>
      </c>
      <c r="B299" s="13"/>
      <c r="C299" s="6"/>
      <c r="D299" s="6"/>
      <c r="E299" s="8"/>
      <c r="F299" s="8" t="str">
        <f t="shared" si="8"/>
        <v/>
      </c>
      <c r="G299" s="13" t="str">
        <f t="shared" si="9"/>
        <v/>
      </c>
      <c r="H299" s="6"/>
    </row>
    <row r="300" spans="1:8" x14ac:dyDescent="0.25">
      <c r="A300" s="13" t="s">
        <v>326</v>
      </c>
      <c r="B300" s="13"/>
      <c r="C300" s="6"/>
      <c r="D300" s="6"/>
      <c r="E300" s="8"/>
      <c r="F300" s="8" t="str">
        <f t="shared" si="8"/>
        <v/>
      </c>
      <c r="G300" s="13" t="str">
        <f t="shared" si="9"/>
        <v/>
      </c>
      <c r="H300" s="6"/>
    </row>
    <row r="301" spans="1:8" x14ac:dyDescent="0.25">
      <c r="A301" s="13" t="s">
        <v>327</v>
      </c>
      <c r="B301" s="13"/>
      <c r="C301" s="6"/>
      <c r="D301" s="6"/>
      <c r="E301" s="8"/>
      <c r="F301" s="8" t="str">
        <f t="shared" si="8"/>
        <v/>
      </c>
      <c r="G301" s="13" t="str">
        <f t="shared" si="9"/>
        <v/>
      </c>
      <c r="H301" s="6"/>
    </row>
    <row r="302" spans="1:8" x14ac:dyDescent="0.25">
      <c r="A302" s="13" t="s">
        <v>328</v>
      </c>
      <c r="B302" s="13"/>
      <c r="C302" s="6"/>
      <c r="D302" s="6"/>
      <c r="E302" s="8"/>
      <c r="F302" s="8" t="str">
        <f t="shared" si="8"/>
        <v/>
      </c>
      <c r="G302" s="13" t="str">
        <f t="shared" si="9"/>
        <v/>
      </c>
      <c r="H302" s="6"/>
    </row>
    <row r="303" spans="1:8" x14ac:dyDescent="0.25">
      <c r="A303" s="13" t="s">
        <v>329</v>
      </c>
      <c r="B303" s="13"/>
      <c r="C303" s="6"/>
      <c r="D303" s="6"/>
      <c r="E303" s="8"/>
      <c r="F303" s="8" t="str">
        <f t="shared" si="8"/>
        <v/>
      </c>
      <c r="G303" s="13" t="str">
        <f t="shared" si="9"/>
        <v/>
      </c>
      <c r="H303" s="6"/>
    </row>
    <row r="304" spans="1:8" x14ac:dyDescent="0.25">
      <c r="A304" s="13" t="s">
        <v>330</v>
      </c>
      <c r="B304" s="13"/>
      <c r="C304" s="6"/>
      <c r="D304" s="6"/>
      <c r="E304" s="8"/>
      <c r="F304" s="8" t="str">
        <f t="shared" si="8"/>
        <v/>
      </c>
      <c r="G304" s="13" t="str">
        <f t="shared" si="9"/>
        <v/>
      </c>
      <c r="H304" s="6"/>
    </row>
    <row r="305" spans="1:8" x14ac:dyDescent="0.25">
      <c r="A305" s="13" t="s">
        <v>331</v>
      </c>
      <c r="B305" s="13"/>
      <c r="C305" s="6"/>
      <c r="D305" s="6"/>
      <c r="E305" s="8"/>
      <c r="F305" s="8" t="str">
        <f t="shared" si="8"/>
        <v/>
      </c>
      <c r="G305" s="13" t="str">
        <f t="shared" si="9"/>
        <v/>
      </c>
      <c r="H305" s="6"/>
    </row>
    <row r="306" spans="1:8" x14ac:dyDescent="0.25">
      <c r="A306" s="13" t="s">
        <v>332</v>
      </c>
      <c r="B306" s="13"/>
      <c r="C306" s="6"/>
      <c r="D306" s="6"/>
      <c r="E306" s="8"/>
      <c r="F306" s="8" t="str">
        <f t="shared" si="8"/>
        <v/>
      </c>
      <c r="G306" s="13" t="str">
        <f t="shared" si="9"/>
        <v/>
      </c>
      <c r="H306" s="6"/>
    </row>
    <row r="307" spans="1:8" x14ac:dyDescent="0.25">
      <c r="A307" s="13" t="s">
        <v>333</v>
      </c>
      <c r="B307" s="13"/>
      <c r="C307" s="6"/>
      <c r="D307" s="6"/>
      <c r="E307" s="8"/>
      <c r="F307" s="8" t="str">
        <f t="shared" si="8"/>
        <v/>
      </c>
      <c r="G307" s="13" t="str">
        <f t="shared" si="9"/>
        <v/>
      </c>
      <c r="H307" s="6"/>
    </row>
    <row r="308" spans="1:8" x14ac:dyDescent="0.25">
      <c r="A308" s="13" t="s">
        <v>334</v>
      </c>
      <c r="B308" s="13"/>
      <c r="C308" s="6"/>
      <c r="D308" s="6"/>
      <c r="E308" s="8"/>
      <c r="F308" s="8" t="str">
        <f t="shared" si="8"/>
        <v/>
      </c>
      <c r="G308" s="13" t="str">
        <f t="shared" si="9"/>
        <v/>
      </c>
      <c r="H308" s="6"/>
    </row>
    <row r="309" spans="1:8" x14ac:dyDescent="0.25">
      <c r="A309" s="13" t="s">
        <v>335</v>
      </c>
      <c r="B309" s="13"/>
      <c r="C309" s="6"/>
      <c r="D309" s="6"/>
      <c r="E309" s="8"/>
      <c r="F309" s="8" t="str">
        <f t="shared" si="8"/>
        <v/>
      </c>
      <c r="G309" s="13" t="str">
        <f t="shared" si="9"/>
        <v/>
      </c>
      <c r="H309" s="6"/>
    </row>
    <row r="310" spans="1:8" x14ac:dyDescent="0.25">
      <c r="A310" s="13" t="s">
        <v>336</v>
      </c>
      <c r="B310" s="13"/>
      <c r="C310" s="6"/>
      <c r="D310" s="6"/>
      <c r="E310" s="8"/>
      <c r="F310" s="8" t="str">
        <f t="shared" si="8"/>
        <v/>
      </c>
      <c r="G310" s="13" t="str">
        <f t="shared" si="9"/>
        <v/>
      </c>
      <c r="H310" s="6"/>
    </row>
    <row r="311" spans="1:8" x14ac:dyDescent="0.25">
      <c r="A311" s="13" t="s">
        <v>337</v>
      </c>
      <c r="B311" s="13"/>
      <c r="C311" s="6"/>
      <c r="D311" s="6"/>
      <c r="E311" s="8"/>
      <c r="F311" s="8" t="str">
        <f t="shared" si="8"/>
        <v/>
      </c>
      <c r="G311" s="13" t="str">
        <f t="shared" si="9"/>
        <v/>
      </c>
      <c r="H311" s="6"/>
    </row>
    <row r="312" spans="1:8" x14ac:dyDescent="0.25">
      <c r="A312" s="13" t="s">
        <v>338</v>
      </c>
      <c r="B312" s="13"/>
      <c r="C312" s="6"/>
      <c r="D312" s="6"/>
      <c r="E312" s="8"/>
      <c r="F312" s="8" t="str">
        <f t="shared" si="8"/>
        <v/>
      </c>
      <c r="G312" s="13" t="str">
        <f t="shared" si="9"/>
        <v/>
      </c>
      <c r="H312" s="6"/>
    </row>
    <row r="313" spans="1:8" x14ac:dyDescent="0.25">
      <c r="A313" s="13" t="s">
        <v>339</v>
      </c>
      <c r="B313" s="13"/>
      <c r="C313" s="6"/>
      <c r="D313" s="6"/>
      <c r="E313" s="8"/>
      <c r="F313" s="8" t="str">
        <f t="shared" si="8"/>
        <v/>
      </c>
      <c r="G313" s="13" t="str">
        <f t="shared" si="9"/>
        <v/>
      </c>
      <c r="H313" s="6"/>
    </row>
    <row r="314" spans="1:8" x14ac:dyDescent="0.25">
      <c r="A314" s="13" t="s">
        <v>340</v>
      </c>
      <c r="B314" s="13"/>
      <c r="C314" s="6"/>
      <c r="D314" s="6"/>
      <c r="E314" s="8"/>
      <c r="F314" s="8" t="str">
        <f t="shared" si="8"/>
        <v/>
      </c>
      <c r="G314" s="13" t="str">
        <f t="shared" si="9"/>
        <v/>
      </c>
      <c r="H314" s="6"/>
    </row>
    <row r="315" spans="1:8" x14ac:dyDescent="0.25">
      <c r="A315" s="13" t="s">
        <v>341</v>
      </c>
      <c r="B315" s="13"/>
      <c r="C315" s="6"/>
      <c r="D315" s="6"/>
      <c r="E315" s="8"/>
      <c r="F315" s="8" t="str">
        <f t="shared" si="8"/>
        <v/>
      </c>
      <c r="G315" s="13" t="str">
        <f t="shared" si="9"/>
        <v/>
      </c>
      <c r="H315" s="6"/>
    </row>
    <row r="316" spans="1:8" x14ac:dyDescent="0.25">
      <c r="A316" s="13" t="s">
        <v>342</v>
      </c>
      <c r="B316" s="13"/>
      <c r="C316" s="6"/>
      <c r="D316" s="6"/>
      <c r="E316" s="8"/>
      <c r="F316" s="8" t="str">
        <f t="shared" si="8"/>
        <v/>
      </c>
      <c r="G316" s="13" t="str">
        <f t="shared" si="9"/>
        <v/>
      </c>
      <c r="H316" s="6"/>
    </row>
    <row r="317" spans="1:8" x14ac:dyDescent="0.25">
      <c r="A317" s="13" t="s">
        <v>343</v>
      </c>
      <c r="B317" s="13"/>
      <c r="C317" s="6"/>
      <c r="D317" s="6"/>
      <c r="E317" s="8"/>
      <c r="F317" s="8" t="str">
        <f t="shared" si="8"/>
        <v/>
      </c>
      <c r="G317" s="13" t="str">
        <f t="shared" si="9"/>
        <v/>
      </c>
      <c r="H317" s="6"/>
    </row>
    <row r="318" spans="1:8" x14ac:dyDescent="0.25">
      <c r="A318" s="13" t="s">
        <v>344</v>
      </c>
      <c r="B318" s="13"/>
      <c r="C318" s="6"/>
      <c r="D318" s="6"/>
      <c r="E318" s="8"/>
      <c r="F318" s="8" t="str">
        <f t="shared" si="8"/>
        <v/>
      </c>
      <c r="G318" s="13" t="str">
        <f t="shared" si="9"/>
        <v/>
      </c>
      <c r="H318" s="6"/>
    </row>
    <row r="319" spans="1:8" x14ac:dyDescent="0.25">
      <c r="A319" s="13" t="s">
        <v>345</v>
      </c>
      <c r="B319" s="13"/>
      <c r="C319" s="6"/>
      <c r="D319" s="6"/>
      <c r="E319" s="8"/>
      <c r="F319" s="8" t="str">
        <f t="shared" si="8"/>
        <v/>
      </c>
      <c r="G319" s="13" t="str">
        <f t="shared" si="9"/>
        <v/>
      </c>
      <c r="H319" s="6"/>
    </row>
    <row r="320" spans="1:8" x14ac:dyDescent="0.25">
      <c r="A320" s="13" t="s">
        <v>346</v>
      </c>
      <c r="B320" s="13"/>
      <c r="C320" s="6"/>
      <c r="D320" s="6"/>
      <c r="E320" s="8"/>
      <c r="F320" s="8" t="str">
        <f t="shared" si="8"/>
        <v/>
      </c>
      <c r="G320" s="13" t="str">
        <f t="shared" si="9"/>
        <v/>
      </c>
      <c r="H320" s="6"/>
    </row>
    <row r="321" spans="1:8" x14ac:dyDescent="0.25">
      <c r="A321" s="13" t="s">
        <v>347</v>
      </c>
      <c r="B321" s="13"/>
      <c r="C321" s="6"/>
      <c r="D321" s="6"/>
      <c r="E321" s="8"/>
      <c r="F321" s="8" t="str">
        <f t="shared" si="8"/>
        <v/>
      </c>
      <c r="G321" s="13" t="str">
        <f t="shared" si="9"/>
        <v/>
      </c>
      <c r="H321" s="6"/>
    </row>
    <row r="322" spans="1:8" x14ac:dyDescent="0.25">
      <c r="A322" s="13" t="s">
        <v>348</v>
      </c>
      <c r="B322" s="13"/>
      <c r="C322" s="6"/>
      <c r="D322" s="6"/>
      <c r="E322" s="8"/>
      <c r="F322" s="8" t="str">
        <f t="shared" si="8"/>
        <v/>
      </c>
      <c r="G322" s="13" t="str">
        <f t="shared" si="9"/>
        <v/>
      </c>
      <c r="H322" s="6"/>
    </row>
    <row r="323" spans="1:8" x14ac:dyDescent="0.25">
      <c r="A323" s="13" t="s">
        <v>349</v>
      </c>
      <c r="B323" s="13"/>
      <c r="C323" s="6"/>
      <c r="D323" s="6"/>
      <c r="E323" s="8"/>
      <c r="F323" s="8" t="str">
        <f t="shared" si="8"/>
        <v/>
      </c>
      <c r="G323" s="13" t="str">
        <f t="shared" si="9"/>
        <v/>
      </c>
      <c r="H323" s="6"/>
    </row>
    <row r="324" spans="1:8" x14ac:dyDescent="0.25">
      <c r="A324" s="13" t="s">
        <v>350</v>
      </c>
      <c r="B324" s="13"/>
      <c r="C324" s="6"/>
      <c r="D324" s="6"/>
      <c r="E324" s="8"/>
      <c r="F324" s="8" t="str">
        <f t="shared" si="8"/>
        <v/>
      </c>
      <c r="G324" s="13" t="str">
        <f t="shared" si="9"/>
        <v/>
      </c>
      <c r="H324" s="6"/>
    </row>
    <row r="325" spans="1:8" x14ac:dyDescent="0.25">
      <c r="A325" s="13" t="s">
        <v>351</v>
      </c>
      <c r="B325" s="13"/>
      <c r="C325" s="6"/>
      <c r="D325" s="6"/>
      <c r="E325" s="8"/>
      <c r="F325" s="8" t="str">
        <f t="shared" si="8"/>
        <v/>
      </c>
      <c r="G325" s="13" t="str">
        <f t="shared" si="9"/>
        <v/>
      </c>
      <c r="H325" s="6"/>
    </row>
    <row r="326" spans="1:8" x14ac:dyDescent="0.25">
      <c r="A326" s="13" t="s">
        <v>352</v>
      </c>
      <c r="B326" s="13"/>
      <c r="C326" s="6"/>
      <c r="D326" s="6"/>
      <c r="E326" s="8"/>
      <c r="F326" s="8" t="str">
        <f t="shared" si="8"/>
        <v/>
      </c>
      <c r="G326" s="13" t="str">
        <f t="shared" si="9"/>
        <v/>
      </c>
      <c r="H326" s="6"/>
    </row>
    <row r="327" spans="1:8" x14ac:dyDescent="0.25">
      <c r="A327" s="13" t="s">
        <v>353</v>
      </c>
      <c r="B327" s="13"/>
      <c r="C327" s="6"/>
      <c r="D327" s="6"/>
      <c r="E327" s="8"/>
      <c r="F327" s="8" t="str">
        <f t="shared" ref="F327:F390" si="10">IF(OR(E327="",E327=0), "", IF(ISNUMBER(F326), F326+E327, E327))</f>
        <v/>
      </c>
      <c r="G327" s="13" t="str">
        <f t="shared" ref="G327:G390" si="11">IF(OR(E327="",E327=0), "", "✓ Received &amp; Logged")</f>
        <v/>
      </c>
      <c r="H327" s="6"/>
    </row>
    <row r="328" spans="1:8" x14ac:dyDescent="0.25">
      <c r="A328" s="13" t="s">
        <v>354</v>
      </c>
      <c r="B328" s="13"/>
      <c r="C328" s="6"/>
      <c r="D328" s="6"/>
      <c r="E328" s="8"/>
      <c r="F328" s="8" t="str">
        <f t="shared" si="10"/>
        <v/>
      </c>
      <c r="G328" s="13" t="str">
        <f t="shared" si="11"/>
        <v/>
      </c>
      <c r="H328" s="6"/>
    </row>
    <row r="329" spans="1:8" x14ac:dyDescent="0.25">
      <c r="A329" s="13" t="s">
        <v>355</v>
      </c>
      <c r="B329" s="13"/>
      <c r="C329" s="6"/>
      <c r="D329" s="6"/>
      <c r="E329" s="8"/>
      <c r="F329" s="8" t="str">
        <f t="shared" si="10"/>
        <v/>
      </c>
      <c r="G329" s="13" t="str">
        <f t="shared" si="11"/>
        <v/>
      </c>
      <c r="H329" s="6"/>
    </row>
    <row r="330" spans="1:8" x14ac:dyDescent="0.25">
      <c r="A330" s="13" t="s">
        <v>356</v>
      </c>
      <c r="B330" s="13"/>
      <c r="C330" s="6"/>
      <c r="D330" s="6"/>
      <c r="E330" s="8"/>
      <c r="F330" s="8" t="str">
        <f t="shared" si="10"/>
        <v/>
      </c>
      <c r="G330" s="13" t="str">
        <f t="shared" si="11"/>
        <v/>
      </c>
      <c r="H330" s="6"/>
    </row>
    <row r="331" spans="1:8" x14ac:dyDescent="0.25">
      <c r="A331" s="13" t="s">
        <v>357</v>
      </c>
      <c r="B331" s="13"/>
      <c r="C331" s="6"/>
      <c r="D331" s="6"/>
      <c r="E331" s="8"/>
      <c r="F331" s="8" t="str">
        <f t="shared" si="10"/>
        <v/>
      </c>
      <c r="G331" s="13" t="str">
        <f t="shared" si="11"/>
        <v/>
      </c>
      <c r="H331" s="6"/>
    </row>
    <row r="332" spans="1:8" x14ac:dyDescent="0.25">
      <c r="A332" s="13" t="s">
        <v>358</v>
      </c>
      <c r="B332" s="13"/>
      <c r="C332" s="6"/>
      <c r="D332" s="6"/>
      <c r="E332" s="8"/>
      <c r="F332" s="8" t="str">
        <f t="shared" si="10"/>
        <v/>
      </c>
      <c r="G332" s="13" t="str">
        <f t="shared" si="11"/>
        <v/>
      </c>
      <c r="H332" s="6"/>
    </row>
    <row r="333" spans="1:8" x14ac:dyDescent="0.25">
      <c r="A333" s="13" t="s">
        <v>359</v>
      </c>
      <c r="B333" s="13"/>
      <c r="C333" s="6"/>
      <c r="D333" s="6"/>
      <c r="E333" s="8"/>
      <c r="F333" s="8" t="str">
        <f t="shared" si="10"/>
        <v/>
      </c>
      <c r="G333" s="13" t="str">
        <f t="shared" si="11"/>
        <v/>
      </c>
      <c r="H333" s="6"/>
    </row>
    <row r="334" spans="1:8" x14ac:dyDescent="0.25">
      <c r="A334" s="13" t="s">
        <v>360</v>
      </c>
      <c r="B334" s="13"/>
      <c r="C334" s="6"/>
      <c r="D334" s="6"/>
      <c r="E334" s="8"/>
      <c r="F334" s="8" t="str">
        <f t="shared" si="10"/>
        <v/>
      </c>
      <c r="G334" s="13" t="str">
        <f t="shared" si="11"/>
        <v/>
      </c>
      <c r="H334" s="6"/>
    </row>
    <row r="335" spans="1:8" x14ac:dyDescent="0.25">
      <c r="A335" s="13" t="s">
        <v>361</v>
      </c>
      <c r="B335" s="13"/>
      <c r="C335" s="6"/>
      <c r="D335" s="6"/>
      <c r="E335" s="8"/>
      <c r="F335" s="8" t="str">
        <f t="shared" si="10"/>
        <v/>
      </c>
      <c r="G335" s="13" t="str">
        <f t="shared" si="11"/>
        <v/>
      </c>
      <c r="H335" s="6"/>
    </row>
    <row r="336" spans="1:8" x14ac:dyDescent="0.25">
      <c r="A336" s="13" t="s">
        <v>362</v>
      </c>
      <c r="B336" s="13"/>
      <c r="C336" s="6"/>
      <c r="D336" s="6"/>
      <c r="E336" s="8"/>
      <c r="F336" s="8" t="str">
        <f t="shared" si="10"/>
        <v/>
      </c>
      <c r="G336" s="13" t="str">
        <f t="shared" si="11"/>
        <v/>
      </c>
      <c r="H336" s="6"/>
    </row>
    <row r="337" spans="1:8" x14ac:dyDescent="0.25">
      <c r="A337" s="13" t="s">
        <v>363</v>
      </c>
      <c r="B337" s="13"/>
      <c r="C337" s="6"/>
      <c r="D337" s="6"/>
      <c r="E337" s="8"/>
      <c r="F337" s="8" t="str">
        <f t="shared" si="10"/>
        <v/>
      </c>
      <c r="G337" s="13" t="str">
        <f t="shared" si="11"/>
        <v/>
      </c>
      <c r="H337" s="6"/>
    </row>
    <row r="338" spans="1:8" x14ac:dyDescent="0.25">
      <c r="A338" s="13" t="s">
        <v>364</v>
      </c>
      <c r="B338" s="13"/>
      <c r="C338" s="6"/>
      <c r="D338" s="6"/>
      <c r="E338" s="8"/>
      <c r="F338" s="8" t="str">
        <f t="shared" si="10"/>
        <v/>
      </c>
      <c r="G338" s="13" t="str">
        <f t="shared" si="11"/>
        <v/>
      </c>
      <c r="H338" s="6"/>
    </row>
    <row r="339" spans="1:8" x14ac:dyDescent="0.25">
      <c r="A339" s="13" t="s">
        <v>365</v>
      </c>
      <c r="B339" s="13"/>
      <c r="C339" s="6"/>
      <c r="D339" s="6"/>
      <c r="E339" s="8"/>
      <c r="F339" s="8" t="str">
        <f t="shared" si="10"/>
        <v/>
      </c>
      <c r="G339" s="13" t="str">
        <f t="shared" si="11"/>
        <v/>
      </c>
      <c r="H339" s="6"/>
    </row>
    <row r="340" spans="1:8" x14ac:dyDescent="0.25">
      <c r="A340" s="13" t="s">
        <v>366</v>
      </c>
      <c r="B340" s="13"/>
      <c r="C340" s="6"/>
      <c r="D340" s="6"/>
      <c r="E340" s="8"/>
      <c r="F340" s="8" t="str">
        <f t="shared" si="10"/>
        <v/>
      </c>
      <c r="G340" s="13" t="str">
        <f t="shared" si="11"/>
        <v/>
      </c>
      <c r="H340" s="6"/>
    </row>
    <row r="341" spans="1:8" x14ac:dyDescent="0.25">
      <c r="A341" s="13" t="s">
        <v>367</v>
      </c>
      <c r="B341" s="13"/>
      <c r="C341" s="6"/>
      <c r="D341" s="6"/>
      <c r="E341" s="8"/>
      <c r="F341" s="8" t="str">
        <f t="shared" si="10"/>
        <v/>
      </c>
      <c r="G341" s="13" t="str">
        <f t="shared" si="11"/>
        <v/>
      </c>
      <c r="H341" s="6"/>
    </row>
    <row r="342" spans="1:8" x14ac:dyDescent="0.25">
      <c r="A342" s="13" t="s">
        <v>368</v>
      </c>
      <c r="B342" s="13"/>
      <c r="C342" s="6"/>
      <c r="D342" s="6"/>
      <c r="E342" s="8"/>
      <c r="F342" s="8" t="str">
        <f t="shared" si="10"/>
        <v/>
      </c>
      <c r="G342" s="13" t="str">
        <f t="shared" si="11"/>
        <v/>
      </c>
      <c r="H342" s="6"/>
    </row>
    <row r="343" spans="1:8" x14ac:dyDescent="0.25">
      <c r="A343" s="13" t="s">
        <v>369</v>
      </c>
      <c r="B343" s="13"/>
      <c r="C343" s="6"/>
      <c r="D343" s="6"/>
      <c r="E343" s="8"/>
      <c r="F343" s="8" t="str">
        <f t="shared" si="10"/>
        <v/>
      </c>
      <c r="G343" s="13" t="str">
        <f t="shared" si="11"/>
        <v/>
      </c>
      <c r="H343" s="6"/>
    </row>
    <row r="344" spans="1:8" x14ac:dyDescent="0.25">
      <c r="A344" s="13" t="s">
        <v>370</v>
      </c>
      <c r="B344" s="13"/>
      <c r="C344" s="6"/>
      <c r="D344" s="6"/>
      <c r="E344" s="8"/>
      <c r="F344" s="8" t="str">
        <f t="shared" si="10"/>
        <v/>
      </c>
      <c r="G344" s="13" t="str">
        <f t="shared" si="11"/>
        <v/>
      </c>
      <c r="H344" s="6"/>
    </row>
    <row r="345" spans="1:8" x14ac:dyDescent="0.25">
      <c r="A345" s="13" t="s">
        <v>371</v>
      </c>
      <c r="B345" s="13"/>
      <c r="C345" s="6"/>
      <c r="D345" s="6"/>
      <c r="E345" s="8"/>
      <c r="F345" s="8" t="str">
        <f t="shared" si="10"/>
        <v/>
      </c>
      <c r="G345" s="13" t="str">
        <f t="shared" si="11"/>
        <v/>
      </c>
      <c r="H345" s="6"/>
    </row>
    <row r="346" spans="1:8" x14ac:dyDescent="0.25">
      <c r="A346" s="13" t="s">
        <v>372</v>
      </c>
      <c r="B346" s="13"/>
      <c r="C346" s="6"/>
      <c r="D346" s="6"/>
      <c r="E346" s="8"/>
      <c r="F346" s="8" t="str">
        <f t="shared" si="10"/>
        <v/>
      </c>
      <c r="G346" s="13" t="str">
        <f t="shared" si="11"/>
        <v/>
      </c>
      <c r="H346" s="6"/>
    </row>
    <row r="347" spans="1:8" x14ac:dyDescent="0.25">
      <c r="A347" s="13" t="s">
        <v>373</v>
      </c>
      <c r="B347" s="13"/>
      <c r="C347" s="6"/>
      <c r="D347" s="6"/>
      <c r="E347" s="8"/>
      <c r="F347" s="8" t="str">
        <f t="shared" si="10"/>
        <v/>
      </c>
      <c r="G347" s="13" t="str">
        <f t="shared" si="11"/>
        <v/>
      </c>
      <c r="H347" s="6"/>
    </row>
    <row r="348" spans="1:8" x14ac:dyDescent="0.25">
      <c r="A348" s="13" t="s">
        <v>374</v>
      </c>
      <c r="B348" s="13"/>
      <c r="C348" s="6"/>
      <c r="D348" s="6"/>
      <c r="E348" s="8"/>
      <c r="F348" s="8" t="str">
        <f t="shared" si="10"/>
        <v/>
      </c>
      <c r="G348" s="13" t="str">
        <f t="shared" si="11"/>
        <v/>
      </c>
      <c r="H348" s="6"/>
    </row>
    <row r="349" spans="1:8" x14ac:dyDescent="0.25">
      <c r="A349" s="13" t="s">
        <v>375</v>
      </c>
      <c r="B349" s="13"/>
      <c r="C349" s="6"/>
      <c r="D349" s="6"/>
      <c r="E349" s="8"/>
      <c r="F349" s="8" t="str">
        <f t="shared" si="10"/>
        <v/>
      </c>
      <c r="G349" s="13" t="str">
        <f t="shared" si="11"/>
        <v/>
      </c>
      <c r="H349" s="6"/>
    </row>
    <row r="350" spans="1:8" x14ac:dyDescent="0.25">
      <c r="A350" s="13" t="s">
        <v>376</v>
      </c>
      <c r="B350" s="13"/>
      <c r="C350" s="6"/>
      <c r="D350" s="6"/>
      <c r="E350" s="8"/>
      <c r="F350" s="8" t="str">
        <f t="shared" si="10"/>
        <v/>
      </c>
      <c r="G350" s="13" t="str">
        <f t="shared" si="11"/>
        <v/>
      </c>
      <c r="H350" s="6"/>
    </row>
    <row r="351" spans="1:8" x14ac:dyDescent="0.25">
      <c r="A351" s="13" t="s">
        <v>377</v>
      </c>
      <c r="B351" s="13"/>
      <c r="C351" s="6"/>
      <c r="D351" s="6"/>
      <c r="E351" s="8"/>
      <c r="F351" s="8" t="str">
        <f t="shared" si="10"/>
        <v/>
      </c>
      <c r="G351" s="13" t="str">
        <f t="shared" si="11"/>
        <v/>
      </c>
      <c r="H351" s="6"/>
    </row>
    <row r="352" spans="1:8" x14ac:dyDescent="0.25">
      <c r="A352" s="13" t="s">
        <v>378</v>
      </c>
      <c r="B352" s="13"/>
      <c r="C352" s="6"/>
      <c r="D352" s="6"/>
      <c r="E352" s="8"/>
      <c r="F352" s="8" t="str">
        <f t="shared" si="10"/>
        <v/>
      </c>
      <c r="G352" s="13" t="str">
        <f t="shared" si="11"/>
        <v/>
      </c>
      <c r="H352" s="6"/>
    </row>
    <row r="353" spans="1:8" x14ac:dyDescent="0.25">
      <c r="A353" s="13" t="s">
        <v>379</v>
      </c>
      <c r="B353" s="13"/>
      <c r="C353" s="6"/>
      <c r="D353" s="6"/>
      <c r="E353" s="8"/>
      <c r="F353" s="8" t="str">
        <f t="shared" si="10"/>
        <v/>
      </c>
      <c r="G353" s="13" t="str">
        <f t="shared" si="11"/>
        <v/>
      </c>
      <c r="H353" s="6"/>
    </row>
    <row r="354" spans="1:8" x14ac:dyDescent="0.25">
      <c r="A354" s="13" t="s">
        <v>380</v>
      </c>
      <c r="B354" s="13"/>
      <c r="C354" s="6"/>
      <c r="D354" s="6"/>
      <c r="E354" s="8"/>
      <c r="F354" s="8" t="str">
        <f t="shared" si="10"/>
        <v/>
      </c>
      <c r="G354" s="13" t="str">
        <f t="shared" si="11"/>
        <v/>
      </c>
      <c r="H354" s="6"/>
    </row>
    <row r="355" spans="1:8" x14ac:dyDescent="0.25">
      <c r="A355" s="13" t="s">
        <v>381</v>
      </c>
      <c r="B355" s="13"/>
      <c r="C355" s="6"/>
      <c r="D355" s="6"/>
      <c r="E355" s="8"/>
      <c r="F355" s="8" t="str">
        <f t="shared" si="10"/>
        <v/>
      </c>
      <c r="G355" s="13" t="str">
        <f t="shared" si="11"/>
        <v/>
      </c>
      <c r="H355" s="6"/>
    </row>
    <row r="356" spans="1:8" x14ac:dyDescent="0.25">
      <c r="A356" s="13" t="s">
        <v>382</v>
      </c>
      <c r="B356" s="13"/>
      <c r="C356" s="6"/>
      <c r="D356" s="6"/>
      <c r="E356" s="8"/>
      <c r="F356" s="8" t="str">
        <f t="shared" si="10"/>
        <v/>
      </c>
      <c r="G356" s="13" t="str">
        <f t="shared" si="11"/>
        <v/>
      </c>
      <c r="H356" s="6"/>
    </row>
    <row r="357" spans="1:8" x14ac:dyDescent="0.25">
      <c r="A357" s="13" t="s">
        <v>383</v>
      </c>
      <c r="B357" s="13"/>
      <c r="C357" s="6"/>
      <c r="D357" s="6"/>
      <c r="E357" s="8"/>
      <c r="F357" s="8" t="str">
        <f t="shared" si="10"/>
        <v/>
      </c>
      <c r="G357" s="13" t="str">
        <f t="shared" si="11"/>
        <v/>
      </c>
      <c r="H357" s="6"/>
    </row>
    <row r="358" spans="1:8" x14ac:dyDescent="0.25">
      <c r="A358" s="13" t="s">
        <v>384</v>
      </c>
      <c r="B358" s="13"/>
      <c r="C358" s="6"/>
      <c r="D358" s="6"/>
      <c r="E358" s="8"/>
      <c r="F358" s="8" t="str">
        <f t="shared" si="10"/>
        <v/>
      </c>
      <c r="G358" s="13" t="str">
        <f t="shared" si="11"/>
        <v/>
      </c>
      <c r="H358" s="6"/>
    </row>
    <row r="359" spans="1:8" x14ac:dyDescent="0.25">
      <c r="A359" s="13" t="s">
        <v>385</v>
      </c>
      <c r="B359" s="13"/>
      <c r="C359" s="6"/>
      <c r="D359" s="6"/>
      <c r="E359" s="8"/>
      <c r="F359" s="8" t="str">
        <f t="shared" si="10"/>
        <v/>
      </c>
      <c r="G359" s="13" t="str">
        <f t="shared" si="11"/>
        <v/>
      </c>
      <c r="H359" s="6"/>
    </row>
    <row r="360" spans="1:8" x14ac:dyDescent="0.25">
      <c r="A360" s="13" t="s">
        <v>386</v>
      </c>
      <c r="B360" s="13"/>
      <c r="C360" s="6"/>
      <c r="D360" s="6"/>
      <c r="E360" s="8"/>
      <c r="F360" s="8" t="str">
        <f t="shared" si="10"/>
        <v/>
      </c>
      <c r="G360" s="13" t="str">
        <f t="shared" si="11"/>
        <v/>
      </c>
      <c r="H360" s="6"/>
    </row>
    <row r="361" spans="1:8" x14ac:dyDescent="0.25">
      <c r="A361" s="13" t="s">
        <v>387</v>
      </c>
      <c r="B361" s="13"/>
      <c r="C361" s="6"/>
      <c r="D361" s="6"/>
      <c r="E361" s="8"/>
      <c r="F361" s="8" t="str">
        <f t="shared" si="10"/>
        <v/>
      </c>
      <c r="G361" s="13" t="str">
        <f t="shared" si="11"/>
        <v/>
      </c>
      <c r="H361" s="6"/>
    </row>
    <row r="362" spans="1:8" x14ac:dyDescent="0.25">
      <c r="A362" s="13" t="s">
        <v>388</v>
      </c>
      <c r="B362" s="13"/>
      <c r="C362" s="6"/>
      <c r="D362" s="6"/>
      <c r="E362" s="8"/>
      <c r="F362" s="8" t="str">
        <f t="shared" si="10"/>
        <v/>
      </c>
      <c r="G362" s="13" t="str">
        <f t="shared" si="11"/>
        <v/>
      </c>
      <c r="H362" s="6"/>
    </row>
    <row r="363" spans="1:8" x14ac:dyDescent="0.25">
      <c r="A363" s="13" t="s">
        <v>389</v>
      </c>
      <c r="B363" s="13"/>
      <c r="C363" s="6"/>
      <c r="D363" s="6"/>
      <c r="E363" s="8"/>
      <c r="F363" s="8" t="str">
        <f t="shared" si="10"/>
        <v/>
      </c>
      <c r="G363" s="13" t="str">
        <f t="shared" si="11"/>
        <v/>
      </c>
      <c r="H363" s="6"/>
    </row>
    <row r="364" spans="1:8" x14ac:dyDescent="0.25">
      <c r="A364" s="13" t="s">
        <v>390</v>
      </c>
      <c r="B364" s="13"/>
      <c r="C364" s="6"/>
      <c r="D364" s="6"/>
      <c r="E364" s="8"/>
      <c r="F364" s="8" t="str">
        <f t="shared" si="10"/>
        <v/>
      </c>
      <c r="G364" s="13" t="str">
        <f t="shared" si="11"/>
        <v/>
      </c>
      <c r="H364" s="6"/>
    </row>
    <row r="365" spans="1:8" x14ac:dyDescent="0.25">
      <c r="A365" s="13" t="s">
        <v>391</v>
      </c>
      <c r="B365" s="13"/>
      <c r="C365" s="6"/>
      <c r="D365" s="6"/>
      <c r="E365" s="8"/>
      <c r="F365" s="8" t="str">
        <f t="shared" si="10"/>
        <v/>
      </c>
      <c r="G365" s="13" t="str">
        <f t="shared" si="11"/>
        <v/>
      </c>
      <c r="H365" s="6"/>
    </row>
    <row r="366" spans="1:8" x14ac:dyDescent="0.25">
      <c r="A366" s="13" t="s">
        <v>392</v>
      </c>
      <c r="B366" s="13"/>
      <c r="C366" s="6"/>
      <c r="D366" s="6"/>
      <c r="E366" s="8"/>
      <c r="F366" s="8" t="str">
        <f t="shared" si="10"/>
        <v/>
      </c>
      <c r="G366" s="13" t="str">
        <f t="shared" si="11"/>
        <v/>
      </c>
      <c r="H366" s="6"/>
    </row>
    <row r="367" spans="1:8" x14ac:dyDescent="0.25">
      <c r="A367" s="13" t="s">
        <v>393</v>
      </c>
      <c r="B367" s="13"/>
      <c r="C367" s="6"/>
      <c r="D367" s="6"/>
      <c r="E367" s="8"/>
      <c r="F367" s="8" t="str">
        <f t="shared" si="10"/>
        <v/>
      </c>
      <c r="G367" s="13" t="str">
        <f t="shared" si="11"/>
        <v/>
      </c>
      <c r="H367" s="6"/>
    </row>
    <row r="368" spans="1:8" x14ac:dyDescent="0.25">
      <c r="A368" s="13" t="s">
        <v>394</v>
      </c>
      <c r="B368" s="13"/>
      <c r="C368" s="6"/>
      <c r="D368" s="6"/>
      <c r="E368" s="8"/>
      <c r="F368" s="8" t="str">
        <f t="shared" si="10"/>
        <v/>
      </c>
      <c r="G368" s="13" t="str">
        <f t="shared" si="11"/>
        <v/>
      </c>
      <c r="H368" s="6"/>
    </row>
    <row r="369" spans="1:8" x14ac:dyDescent="0.25">
      <c r="A369" s="13" t="s">
        <v>395</v>
      </c>
      <c r="B369" s="13"/>
      <c r="C369" s="6"/>
      <c r="D369" s="6"/>
      <c r="E369" s="8"/>
      <c r="F369" s="8" t="str">
        <f t="shared" si="10"/>
        <v/>
      </c>
      <c r="G369" s="13" t="str">
        <f t="shared" si="11"/>
        <v/>
      </c>
      <c r="H369" s="6"/>
    </row>
    <row r="370" spans="1:8" x14ac:dyDescent="0.25">
      <c r="A370" s="13" t="s">
        <v>396</v>
      </c>
      <c r="B370" s="13"/>
      <c r="C370" s="6"/>
      <c r="D370" s="6"/>
      <c r="E370" s="8"/>
      <c r="F370" s="8" t="str">
        <f t="shared" si="10"/>
        <v/>
      </c>
      <c r="G370" s="13" t="str">
        <f t="shared" si="11"/>
        <v/>
      </c>
      <c r="H370" s="6"/>
    </row>
    <row r="371" spans="1:8" x14ac:dyDescent="0.25">
      <c r="A371" s="13" t="s">
        <v>397</v>
      </c>
      <c r="B371" s="13"/>
      <c r="C371" s="6"/>
      <c r="D371" s="6"/>
      <c r="E371" s="8"/>
      <c r="F371" s="8" t="str">
        <f t="shared" si="10"/>
        <v/>
      </c>
      <c r="G371" s="13" t="str">
        <f t="shared" si="11"/>
        <v/>
      </c>
      <c r="H371" s="6"/>
    </row>
    <row r="372" spans="1:8" x14ac:dyDescent="0.25">
      <c r="A372" s="13" t="s">
        <v>398</v>
      </c>
      <c r="B372" s="13"/>
      <c r="C372" s="6"/>
      <c r="D372" s="6"/>
      <c r="E372" s="8"/>
      <c r="F372" s="8" t="str">
        <f t="shared" si="10"/>
        <v/>
      </c>
      <c r="G372" s="13" t="str">
        <f t="shared" si="11"/>
        <v/>
      </c>
      <c r="H372" s="6"/>
    </row>
    <row r="373" spans="1:8" x14ac:dyDescent="0.25">
      <c r="A373" s="13" t="s">
        <v>399</v>
      </c>
      <c r="B373" s="13"/>
      <c r="C373" s="6"/>
      <c r="D373" s="6"/>
      <c r="E373" s="8"/>
      <c r="F373" s="8" t="str">
        <f t="shared" si="10"/>
        <v/>
      </c>
      <c r="G373" s="13" t="str">
        <f t="shared" si="11"/>
        <v/>
      </c>
      <c r="H373" s="6"/>
    </row>
    <row r="374" spans="1:8" x14ac:dyDescent="0.25">
      <c r="A374" s="13" t="s">
        <v>400</v>
      </c>
      <c r="B374" s="13"/>
      <c r="C374" s="6"/>
      <c r="D374" s="6"/>
      <c r="E374" s="8"/>
      <c r="F374" s="8" t="str">
        <f t="shared" si="10"/>
        <v/>
      </c>
      <c r="G374" s="13" t="str">
        <f t="shared" si="11"/>
        <v/>
      </c>
      <c r="H374" s="6"/>
    </row>
    <row r="375" spans="1:8" x14ac:dyDescent="0.25">
      <c r="A375" s="13" t="s">
        <v>401</v>
      </c>
      <c r="B375" s="13"/>
      <c r="C375" s="6"/>
      <c r="D375" s="6"/>
      <c r="E375" s="8"/>
      <c r="F375" s="8" t="str">
        <f t="shared" si="10"/>
        <v/>
      </c>
      <c r="G375" s="13" t="str">
        <f t="shared" si="11"/>
        <v/>
      </c>
      <c r="H375" s="6"/>
    </row>
    <row r="376" spans="1:8" x14ac:dyDescent="0.25">
      <c r="A376" s="13" t="s">
        <v>402</v>
      </c>
      <c r="B376" s="13"/>
      <c r="C376" s="6"/>
      <c r="D376" s="6"/>
      <c r="E376" s="8"/>
      <c r="F376" s="8" t="str">
        <f t="shared" si="10"/>
        <v/>
      </c>
      <c r="G376" s="13" t="str">
        <f t="shared" si="11"/>
        <v/>
      </c>
      <c r="H376" s="6"/>
    </row>
    <row r="377" spans="1:8" x14ac:dyDescent="0.25">
      <c r="A377" s="13" t="s">
        <v>403</v>
      </c>
      <c r="B377" s="13"/>
      <c r="C377" s="6"/>
      <c r="D377" s="6"/>
      <c r="E377" s="8"/>
      <c r="F377" s="8" t="str">
        <f t="shared" si="10"/>
        <v/>
      </c>
      <c r="G377" s="13" t="str">
        <f t="shared" si="11"/>
        <v/>
      </c>
      <c r="H377" s="6"/>
    </row>
    <row r="378" spans="1:8" x14ac:dyDescent="0.25">
      <c r="A378" s="13" t="s">
        <v>404</v>
      </c>
      <c r="B378" s="13"/>
      <c r="C378" s="6"/>
      <c r="D378" s="6"/>
      <c r="E378" s="8"/>
      <c r="F378" s="8" t="str">
        <f t="shared" si="10"/>
        <v/>
      </c>
      <c r="G378" s="13" t="str">
        <f t="shared" si="11"/>
        <v/>
      </c>
      <c r="H378" s="6"/>
    </row>
    <row r="379" spans="1:8" x14ac:dyDescent="0.25">
      <c r="A379" s="13" t="s">
        <v>405</v>
      </c>
      <c r="B379" s="13"/>
      <c r="C379" s="6"/>
      <c r="D379" s="6"/>
      <c r="E379" s="8"/>
      <c r="F379" s="8" t="str">
        <f t="shared" si="10"/>
        <v/>
      </c>
      <c r="G379" s="13" t="str">
        <f t="shared" si="11"/>
        <v/>
      </c>
      <c r="H379" s="6"/>
    </row>
    <row r="380" spans="1:8" x14ac:dyDescent="0.25">
      <c r="A380" s="13" t="s">
        <v>406</v>
      </c>
      <c r="B380" s="13"/>
      <c r="C380" s="6"/>
      <c r="D380" s="6"/>
      <c r="E380" s="8"/>
      <c r="F380" s="8" t="str">
        <f t="shared" si="10"/>
        <v/>
      </c>
      <c r="G380" s="13" t="str">
        <f t="shared" si="11"/>
        <v/>
      </c>
      <c r="H380" s="6"/>
    </row>
    <row r="381" spans="1:8" x14ac:dyDescent="0.25">
      <c r="A381" s="13" t="s">
        <v>407</v>
      </c>
      <c r="B381" s="13"/>
      <c r="C381" s="6"/>
      <c r="D381" s="6"/>
      <c r="E381" s="8"/>
      <c r="F381" s="8" t="str">
        <f t="shared" si="10"/>
        <v/>
      </c>
      <c r="G381" s="13" t="str">
        <f t="shared" si="11"/>
        <v/>
      </c>
      <c r="H381" s="6"/>
    </row>
    <row r="382" spans="1:8" x14ac:dyDescent="0.25">
      <c r="A382" s="13" t="s">
        <v>408</v>
      </c>
      <c r="B382" s="13"/>
      <c r="C382" s="6"/>
      <c r="D382" s="6"/>
      <c r="E382" s="8"/>
      <c r="F382" s="8" t="str">
        <f t="shared" si="10"/>
        <v/>
      </c>
      <c r="G382" s="13" t="str">
        <f t="shared" si="11"/>
        <v/>
      </c>
      <c r="H382" s="6"/>
    </row>
    <row r="383" spans="1:8" x14ac:dyDescent="0.25">
      <c r="A383" s="13" t="s">
        <v>409</v>
      </c>
      <c r="B383" s="13"/>
      <c r="C383" s="6"/>
      <c r="D383" s="6"/>
      <c r="E383" s="8"/>
      <c r="F383" s="8" t="str">
        <f t="shared" si="10"/>
        <v/>
      </c>
      <c r="G383" s="13" t="str">
        <f t="shared" si="11"/>
        <v/>
      </c>
      <c r="H383" s="6"/>
    </row>
    <row r="384" spans="1:8" x14ac:dyDescent="0.25">
      <c r="A384" s="13" t="s">
        <v>410</v>
      </c>
      <c r="B384" s="13"/>
      <c r="C384" s="6"/>
      <c r="D384" s="6"/>
      <c r="E384" s="8"/>
      <c r="F384" s="8" t="str">
        <f t="shared" si="10"/>
        <v/>
      </c>
      <c r="G384" s="13" t="str">
        <f t="shared" si="11"/>
        <v/>
      </c>
      <c r="H384" s="6"/>
    </row>
    <row r="385" spans="1:8" x14ac:dyDescent="0.25">
      <c r="A385" s="13" t="s">
        <v>411</v>
      </c>
      <c r="B385" s="13"/>
      <c r="C385" s="6"/>
      <c r="D385" s="6"/>
      <c r="E385" s="8"/>
      <c r="F385" s="8" t="str">
        <f t="shared" si="10"/>
        <v/>
      </c>
      <c r="G385" s="13" t="str">
        <f t="shared" si="11"/>
        <v/>
      </c>
      <c r="H385" s="6"/>
    </row>
    <row r="386" spans="1:8" x14ac:dyDescent="0.25">
      <c r="A386" s="13" t="s">
        <v>412</v>
      </c>
      <c r="B386" s="13"/>
      <c r="C386" s="6"/>
      <c r="D386" s="6"/>
      <c r="E386" s="8"/>
      <c r="F386" s="8" t="str">
        <f t="shared" si="10"/>
        <v/>
      </c>
      <c r="G386" s="13" t="str">
        <f t="shared" si="11"/>
        <v/>
      </c>
      <c r="H386" s="6"/>
    </row>
    <row r="387" spans="1:8" x14ac:dyDescent="0.25">
      <c r="A387" s="13" t="s">
        <v>413</v>
      </c>
      <c r="B387" s="13"/>
      <c r="C387" s="6"/>
      <c r="D387" s="6"/>
      <c r="E387" s="8"/>
      <c r="F387" s="8" t="str">
        <f t="shared" si="10"/>
        <v/>
      </c>
      <c r="G387" s="13" t="str">
        <f t="shared" si="11"/>
        <v/>
      </c>
      <c r="H387" s="6"/>
    </row>
    <row r="388" spans="1:8" x14ac:dyDescent="0.25">
      <c r="A388" s="13" t="s">
        <v>414</v>
      </c>
      <c r="B388" s="13"/>
      <c r="C388" s="6"/>
      <c r="D388" s="6"/>
      <c r="E388" s="8"/>
      <c r="F388" s="8" t="str">
        <f t="shared" si="10"/>
        <v/>
      </c>
      <c r="G388" s="13" t="str">
        <f t="shared" si="11"/>
        <v/>
      </c>
      <c r="H388" s="6"/>
    </row>
    <row r="389" spans="1:8" x14ac:dyDescent="0.25">
      <c r="A389" s="13" t="s">
        <v>415</v>
      </c>
      <c r="B389" s="13"/>
      <c r="C389" s="6"/>
      <c r="D389" s="6"/>
      <c r="E389" s="8"/>
      <c r="F389" s="8" t="str">
        <f t="shared" si="10"/>
        <v/>
      </c>
      <c r="G389" s="13" t="str">
        <f t="shared" si="11"/>
        <v/>
      </c>
      <c r="H389" s="6"/>
    </row>
    <row r="390" spans="1:8" x14ac:dyDescent="0.25">
      <c r="A390" s="13" t="s">
        <v>416</v>
      </c>
      <c r="B390" s="13"/>
      <c r="C390" s="6"/>
      <c r="D390" s="6"/>
      <c r="E390" s="8"/>
      <c r="F390" s="8" t="str">
        <f t="shared" si="10"/>
        <v/>
      </c>
      <c r="G390" s="13" t="str">
        <f t="shared" si="11"/>
        <v/>
      </c>
      <c r="H390" s="6"/>
    </row>
    <row r="391" spans="1:8" x14ac:dyDescent="0.25">
      <c r="A391" s="13" t="s">
        <v>417</v>
      </c>
      <c r="B391" s="13"/>
      <c r="C391" s="6"/>
      <c r="D391" s="6"/>
      <c r="E391" s="8"/>
      <c r="F391" s="8" t="str">
        <f t="shared" ref="F391:F454" si="12">IF(OR(E391="",E391=0), "", IF(ISNUMBER(F390), F390+E391, E391))</f>
        <v/>
      </c>
      <c r="G391" s="13" t="str">
        <f t="shared" ref="G391:G454" si="13">IF(OR(E391="",E391=0), "", "✓ Received &amp; Logged")</f>
        <v/>
      </c>
      <c r="H391" s="6"/>
    </row>
    <row r="392" spans="1:8" x14ac:dyDescent="0.25">
      <c r="A392" s="13" t="s">
        <v>418</v>
      </c>
      <c r="B392" s="13"/>
      <c r="C392" s="6"/>
      <c r="D392" s="6"/>
      <c r="E392" s="8"/>
      <c r="F392" s="8" t="str">
        <f t="shared" si="12"/>
        <v/>
      </c>
      <c r="G392" s="13" t="str">
        <f t="shared" si="13"/>
        <v/>
      </c>
      <c r="H392" s="6"/>
    </row>
    <row r="393" spans="1:8" x14ac:dyDescent="0.25">
      <c r="A393" s="13" t="s">
        <v>419</v>
      </c>
      <c r="B393" s="13"/>
      <c r="C393" s="6"/>
      <c r="D393" s="6"/>
      <c r="E393" s="8"/>
      <c r="F393" s="8" t="str">
        <f t="shared" si="12"/>
        <v/>
      </c>
      <c r="G393" s="13" t="str">
        <f t="shared" si="13"/>
        <v/>
      </c>
      <c r="H393" s="6"/>
    </row>
    <row r="394" spans="1:8" x14ac:dyDescent="0.25">
      <c r="A394" s="13" t="s">
        <v>420</v>
      </c>
      <c r="B394" s="13"/>
      <c r="C394" s="6"/>
      <c r="D394" s="6"/>
      <c r="E394" s="8"/>
      <c r="F394" s="8" t="str">
        <f t="shared" si="12"/>
        <v/>
      </c>
      <c r="G394" s="13" t="str">
        <f t="shared" si="13"/>
        <v/>
      </c>
      <c r="H394" s="6"/>
    </row>
    <row r="395" spans="1:8" x14ac:dyDescent="0.25">
      <c r="A395" s="13" t="s">
        <v>421</v>
      </c>
      <c r="B395" s="13"/>
      <c r="C395" s="6"/>
      <c r="D395" s="6"/>
      <c r="E395" s="8"/>
      <c r="F395" s="8" t="str">
        <f t="shared" si="12"/>
        <v/>
      </c>
      <c r="G395" s="13" t="str">
        <f t="shared" si="13"/>
        <v/>
      </c>
      <c r="H395" s="6"/>
    </row>
    <row r="396" spans="1:8" x14ac:dyDescent="0.25">
      <c r="A396" s="13" t="s">
        <v>422</v>
      </c>
      <c r="B396" s="13"/>
      <c r="C396" s="6"/>
      <c r="D396" s="6"/>
      <c r="E396" s="8"/>
      <c r="F396" s="8" t="str">
        <f t="shared" si="12"/>
        <v/>
      </c>
      <c r="G396" s="13" t="str">
        <f t="shared" si="13"/>
        <v/>
      </c>
      <c r="H396" s="6"/>
    </row>
    <row r="397" spans="1:8" x14ac:dyDescent="0.25">
      <c r="A397" s="13" t="s">
        <v>423</v>
      </c>
      <c r="B397" s="13"/>
      <c r="C397" s="6"/>
      <c r="D397" s="6"/>
      <c r="E397" s="8"/>
      <c r="F397" s="8" t="str">
        <f t="shared" si="12"/>
        <v/>
      </c>
      <c r="G397" s="13" t="str">
        <f t="shared" si="13"/>
        <v/>
      </c>
      <c r="H397" s="6"/>
    </row>
    <row r="398" spans="1:8" x14ac:dyDescent="0.25">
      <c r="A398" s="13" t="s">
        <v>424</v>
      </c>
      <c r="B398" s="13"/>
      <c r="C398" s="6"/>
      <c r="D398" s="6"/>
      <c r="E398" s="8"/>
      <c r="F398" s="8" t="str">
        <f t="shared" si="12"/>
        <v/>
      </c>
      <c r="G398" s="13" t="str">
        <f t="shared" si="13"/>
        <v/>
      </c>
      <c r="H398" s="6"/>
    </row>
    <row r="399" spans="1:8" x14ac:dyDescent="0.25">
      <c r="A399" s="13" t="s">
        <v>425</v>
      </c>
      <c r="B399" s="13"/>
      <c r="C399" s="6"/>
      <c r="D399" s="6"/>
      <c r="E399" s="8"/>
      <c r="F399" s="8" t="str">
        <f t="shared" si="12"/>
        <v/>
      </c>
      <c r="G399" s="13" t="str">
        <f t="shared" si="13"/>
        <v/>
      </c>
      <c r="H399" s="6"/>
    </row>
    <row r="400" spans="1:8" x14ac:dyDescent="0.25">
      <c r="A400" s="13" t="s">
        <v>426</v>
      </c>
      <c r="B400" s="13"/>
      <c r="C400" s="6"/>
      <c r="D400" s="6"/>
      <c r="E400" s="8"/>
      <c r="F400" s="8" t="str">
        <f t="shared" si="12"/>
        <v/>
      </c>
      <c r="G400" s="13" t="str">
        <f t="shared" si="13"/>
        <v/>
      </c>
      <c r="H400" s="6"/>
    </row>
    <row r="401" spans="1:8" x14ac:dyDescent="0.25">
      <c r="A401" s="13" t="s">
        <v>427</v>
      </c>
      <c r="B401" s="13"/>
      <c r="C401" s="6"/>
      <c r="D401" s="6"/>
      <c r="E401" s="8"/>
      <c r="F401" s="8" t="str">
        <f t="shared" si="12"/>
        <v/>
      </c>
      <c r="G401" s="13" t="str">
        <f t="shared" si="13"/>
        <v/>
      </c>
      <c r="H401" s="6"/>
    </row>
    <row r="402" spans="1:8" x14ac:dyDescent="0.25">
      <c r="A402" s="13" t="s">
        <v>428</v>
      </c>
      <c r="B402" s="13"/>
      <c r="C402" s="6"/>
      <c r="D402" s="6"/>
      <c r="E402" s="8"/>
      <c r="F402" s="8" t="str">
        <f t="shared" si="12"/>
        <v/>
      </c>
      <c r="G402" s="13" t="str">
        <f t="shared" si="13"/>
        <v/>
      </c>
      <c r="H402" s="6"/>
    </row>
    <row r="403" spans="1:8" x14ac:dyDescent="0.25">
      <c r="A403" s="13" t="s">
        <v>429</v>
      </c>
      <c r="B403" s="13"/>
      <c r="C403" s="6"/>
      <c r="D403" s="6"/>
      <c r="E403" s="8"/>
      <c r="F403" s="8" t="str">
        <f t="shared" si="12"/>
        <v/>
      </c>
      <c r="G403" s="13" t="str">
        <f t="shared" si="13"/>
        <v/>
      </c>
      <c r="H403" s="6"/>
    </row>
    <row r="404" spans="1:8" x14ac:dyDescent="0.25">
      <c r="A404" s="13" t="s">
        <v>430</v>
      </c>
      <c r="B404" s="13"/>
      <c r="C404" s="6"/>
      <c r="D404" s="6"/>
      <c r="E404" s="8"/>
      <c r="F404" s="8" t="str">
        <f t="shared" si="12"/>
        <v/>
      </c>
      <c r="G404" s="13" t="str">
        <f t="shared" si="13"/>
        <v/>
      </c>
      <c r="H404" s="6"/>
    </row>
    <row r="405" spans="1:8" x14ac:dyDescent="0.25">
      <c r="A405" s="13" t="s">
        <v>431</v>
      </c>
      <c r="B405" s="13"/>
      <c r="C405" s="6"/>
      <c r="D405" s="6"/>
      <c r="E405" s="8"/>
      <c r="F405" s="8" t="str">
        <f t="shared" si="12"/>
        <v/>
      </c>
      <c r="G405" s="13" t="str">
        <f t="shared" si="13"/>
        <v/>
      </c>
      <c r="H405" s="6"/>
    </row>
    <row r="406" spans="1:8" x14ac:dyDescent="0.25">
      <c r="A406" s="13" t="s">
        <v>432</v>
      </c>
      <c r="B406" s="13"/>
      <c r="C406" s="6"/>
      <c r="D406" s="6"/>
      <c r="E406" s="8"/>
      <c r="F406" s="8" t="str">
        <f t="shared" si="12"/>
        <v/>
      </c>
      <c r="G406" s="13" t="str">
        <f t="shared" si="13"/>
        <v/>
      </c>
      <c r="H406" s="6"/>
    </row>
    <row r="407" spans="1:8" x14ac:dyDescent="0.25">
      <c r="A407" s="13" t="s">
        <v>433</v>
      </c>
      <c r="B407" s="13"/>
      <c r="C407" s="6"/>
      <c r="D407" s="6"/>
      <c r="E407" s="8"/>
      <c r="F407" s="8" t="str">
        <f t="shared" si="12"/>
        <v/>
      </c>
      <c r="G407" s="13" t="str">
        <f t="shared" si="13"/>
        <v/>
      </c>
      <c r="H407" s="6"/>
    </row>
    <row r="408" spans="1:8" x14ac:dyDescent="0.25">
      <c r="A408" s="13" t="s">
        <v>434</v>
      </c>
      <c r="B408" s="13"/>
      <c r="C408" s="6"/>
      <c r="D408" s="6"/>
      <c r="E408" s="8"/>
      <c r="F408" s="8" t="str">
        <f t="shared" si="12"/>
        <v/>
      </c>
      <c r="G408" s="13" t="str">
        <f t="shared" si="13"/>
        <v/>
      </c>
      <c r="H408" s="6"/>
    </row>
    <row r="409" spans="1:8" x14ac:dyDescent="0.25">
      <c r="A409" s="13" t="s">
        <v>435</v>
      </c>
      <c r="B409" s="13"/>
      <c r="C409" s="6"/>
      <c r="D409" s="6"/>
      <c r="E409" s="8"/>
      <c r="F409" s="8" t="str">
        <f t="shared" si="12"/>
        <v/>
      </c>
      <c r="G409" s="13" t="str">
        <f t="shared" si="13"/>
        <v/>
      </c>
      <c r="H409" s="6"/>
    </row>
    <row r="410" spans="1:8" x14ac:dyDescent="0.25">
      <c r="A410" s="13" t="s">
        <v>436</v>
      </c>
      <c r="B410" s="13"/>
      <c r="C410" s="6"/>
      <c r="D410" s="6"/>
      <c r="E410" s="8"/>
      <c r="F410" s="8" t="str">
        <f t="shared" si="12"/>
        <v/>
      </c>
      <c r="G410" s="13" t="str">
        <f t="shared" si="13"/>
        <v/>
      </c>
      <c r="H410" s="6"/>
    </row>
    <row r="411" spans="1:8" x14ac:dyDescent="0.25">
      <c r="A411" s="13" t="s">
        <v>437</v>
      </c>
      <c r="B411" s="13"/>
      <c r="C411" s="6"/>
      <c r="D411" s="6"/>
      <c r="E411" s="8"/>
      <c r="F411" s="8" t="str">
        <f t="shared" si="12"/>
        <v/>
      </c>
      <c r="G411" s="13" t="str">
        <f t="shared" si="13"/>
        <v/>
      </c>
      <c r="H411" s="6"/>
    </row>
    <row r="412" spans="1:8" x14ac:dyDescent="0.25">
      <c r="A412" s="13" t="s">
        <v>438</v>
      </c>
      <c r="B412" s="13"/>
      <c r="C412" s="6"/>
      <c r="D412" s="6"/>
      <c r="E412" s="8"/>
      <c r="F412" s="8" t="str">
        <f t="shared" si="12"/>
        <v/>
      </c>
      <c r="G412" s="13" t="str">
        <f t="shared" si="13"/>
        <v/>
      </c>
      <c r="H412" s="6"/>
    </row>
    <row r="413" spans="1:8" x14ac:dyDescent="0.25">
      <c r="A413" s="13" t="s">
        <v>439</v>
      </c>
      <c r="B413" s="13"/>
      <c r="C413" s="6"/>
      <c r="D413" s="6"/>
      <c r="E413" s="8"/>
      <c r="F413" s="8" t="str">
        <f t="shared" si="12"/>
        <v/>
      </c>
      <c r="G413" s="13" t="str">
        <f t="shared" si="13"/>
        <v/>
      </c>
      <c r="H413" s="6"/>
    </row>
    <row r="414" spans="1:8" x14ac:dyDescent="0.25">
      <c r="A414" s="13" t="s">
        <v>440</v>
      </c>
      <c r="B414" s="13"/>
      <c r="C414" s="6"/>
      <c r="D414" s="6"/>
      <c r="E414" s="8"/>
      <c r="F414" s="8" t="str">
        <f t="shared" si="12"/>
        <v/>
      </c>
      <c r="G414" s="13" t="str">
        <f t="shared" si="13"/>
        <v/>
      </c>
      <c r="H414" s="6"/>
    </row>
    <row r="415" spans="1:8" x14ac:dyDescent="0.25">
      <c r="A415" s="13" t="s">
        <v>441</v>
      </c>
      <c r="B415" s="13"/>
      <c r="C415" s="6"/>
      <c r="D415" s="6"/>
      <c r="E415" s="8"/>
      <c r="F415" s="8" t="str">
        <f t="shared" si="12"/>
        <v/>
      </c>
      <c r="G415" s="13" t="str">
        <f t="shared" si="13"/>
        <v/>
      </c>
      <c r="H415" s="6"/>
    </row>
    <row r="416" spans="1:8" x14ac:dyDescent="0.25">
      <c r="A416" s="13" t="s">
        <v>442</v>
      </c>
      <c r="B416" s="13"/>
      <c r="C416" s="6"/>
      <c r="D416" s="6"/>
      <c r="E416" s="8"/>
      <c r="F416" s="8" t="str">
        <f t="shared" si="12"/>
        <v/>
      </c>
      <c r="G416" s="13" t="str">
        <f t="shared" si="13"/>
        <v/>
      </c>
      <c r="H416" s="6"/>
    </row>
    <row r="417" spans="1:8" x14ac:dyDescent="0.25">
      <c r="A417" s="13" t="s">
        <v>443</v>
      </c>
      <c r="B417" s="13"/>
      <c r="C417" s="6"/>
      <c r="D417" s="6"/>
      <c r="E417" s="8"/>
      <c r="F417" s="8" t="str">
        <f t="shared" si="12"/>
        <v/>
      </c>
      <c r="G417" s="13" t="str">
        <f t="shared" si="13"/>
        <v/>
      </c>
      <c r="H417" s="6"/>
    </row>
    <row r="418" spans="1:8" x14ac:dyDescent="0.25">
      <c r="A418" s="13" t="s">
        <v>444</v>
      </c>
      <c r="B418" s="13"/>
      <c r="C418" s="6"/>
      <c r="D418" s="6"/>
      <c r="E418" s="8"/>
      <c r="F418" s="8" t="str">
        <f t="shared" si="12"/>
        <v/>
      </c>
      <c r="G418" s="13" t="str">
        <f t="shared" si="13"/>
        <v/>
      </c>
      <c r="H418" s="6"/>
    </row>
    <row r="419" spans="1:8" x14ac:dyDescent="0.25">
      <c r="A419" s="13" t="s">
        <v>445</v>
      </c>
      <c r="B419" s="13"/>
      <c r="C419" s="6"/>
      <c r="D419" s="6"/>
      <c r="E419" s="8"/>
      <c r="F419" s="8" t="str">
        <f t="shared" si="12"/>
        <v/>
      </c>
      <c r="G419" s="13" t="str">
        <f t="shared" si="13"/>
        <v/>
      </c>
      <c r="H419" s="6"/>
    </row>
    <row r="420" spans="1:8" x14ac:dyDescent="0.25">
      <c r="A420" s="13" t="s">
        <v>446</v>
      </c>
      <c r="B420" s="13"/>
      <c r="C420" s="6"/>
      <c r="D420" s="6"/>
      <c r="E420" s="8"/>
      <c r="F420" s="8" t="str">
        <f t="shared" si="12"/>
        <v/>
      </c>
      <c r="G420" s="13" t="str">
        <f t="shared" si="13"/>
        <v/>
      </c>
      <c r="H420" s="6"/>
    </row>
    <row r="421" spans="1:8" x14ac:dyDescent="0.25">
      <c r="A421" s="13" t="s">
        <v>447</v>
      </c>
      <c r="B421" s="13"/>
      <c r="C421" s="6"/>
      <c r="D421" s="6"/>
      <c r="E421" s="8"/>
      <c r="F421" s="8" t="str">
        <f t="shared" si="12"/>
        <v/>
      </c>
      <c r="G421" s="13" t="str">
        <f t="shared" si="13"/>
        <v/>
      </c>
      <c r="H421" s="6"/>
    </row>
    <row r="422" spans="1:8" x14ac:dyDescent="0.25">
      <c r="A422" s="13" t="s">
        <v>448</v>
      </c>
      <c r="B422" s="13"/>
      <c r="C422" s="6"/>
      <c r="D422" s="6"/>
      <c r="E422" s="8"/>
      <c r="F422" s="8" t="str">
        <f t="shared" si="12"/>
        <v/>
      </c>
      <c r="G422" s="13" t="str">
        <f t="shared" si="13"/>
        <v/>
      </c>
      <c r="H422" s="6"/>
    </row>
    <row r="423" spans="1:8" x14ac:dyDescent="0.25">
      <c r="A423" s="13" t="s">
        <v>449</v>
      </c>
      <c r="B423" s="13"/>
      <c r="C423" s="6"/>
      <c r="D423" s="6"/>
      <c r="E423" s="8"/>
      <c r="F423" s="8" t="str">
        <f t="shared" si="12"/>
        <v/>
      </c>
      <c r="G423" s="13" t="str">
        <f t="shared" si="13"/>
        <v/>
      </c>
      <c r="H423" s="6"/>
    </row>
    <row r="424" spans="1:8" x14ac:dyDescent="0.25">
      <c r="A424" s="13" t="s">
        <v>450</v>
      </c>
      <c r="B424" s="13"/>
      <c r="C424" s="6"/>
      <c r="D424" s="6"/>
      <c r="E424" s="8"/>
      <c r="F424" s="8" t="str">
        <f t="shared" si="12"/>
        <v/>
      </c>
      <c r="G424" s="13" t="str">
        <f t="shared" si="13"/>
        <v/>
      </c>
      <c r="H424" s="6"/>
    </row>
    <row r="425" spans="1:8" x14ac:dyDescent="0.25">
      <c r="A425" s="13" t="s">
        <v>451</v>
      </c>
      <c r="B425" s="13"/>
      <c r="C425" s="6"/>
      <c r="D425" s="6"/>
      <c r="E425" s="8"/>
      <c r="F425" s="8" t="str">
        <f t="shared" si="12"/>
        <v/>
      </c>
      <c r="G425" s="13" t="str">
        <f t="shared" si="13"/>
        <v/>
      </c>
      <c r="H425" s="6"/>
    </row>
    <row r="426" spans="1:8" x14ac:dyDescent="0.25">
      <c r="A426" s="13" t="s">
        <v>452</v>
      </c>
      <c r="B426" s="13"/>
      <c r="C426" s="6"/>
      <c r="D426" s="6"/>
      <c r="E426" s="8"/>
      <c r="F426" s="8" t="str">
        <f t="shared" si="12"/>
        <v/>
      </c>
      <c r="G426" s="13" t="str">
        <f t="shared" si="13"/>
        <v/>
      </c>
      <c r="H426" s="6"/>
    </row>
    <row r="427" spans="1:8" x14ac:dyDescent="0.25">
      <c r="A427" s="13" t="s">
        <v>453</v>
      </c>
      <c r="B427" s="13"/>
      <c r="C427" s="6"/>
      <c r="D427" s="6"/>
      <c r="E427" s="8"/>
      <c r="F427" s="8" t="str">
        <f t="shared" si="12"/>
        <v/>
      </c>
      <c r="G427" s="13" t="str">
        <f t="shared" si="13"/>
        <v/>
      </c>
      <c r="H427" s="6"/>
    </row>
    <row r="428" spans="1:8" x14ac:dyDescent="0.25">
      <c r="A428" s="13" t="s">
        <v>454</v>
      </c>
      <c r="B428" s="13"/>
      <c r="C428" s="6"/>
      <c r="D428" s="6"/>
      <c r="E428" s="8"/>
      <c r="F428" s="8" t="str">
        <f t="shared" si="12"/>
        <v/>
      </c>
      <c r="G428" s="13" t="str">
        <f t="shared" si="13"/>
        <v/>
      </c>
      <c r="H428" s="6"/>
    </row>
    <row r="429" spans="1:8" x14ac:dyDescent="0.25">
      <c r="A429" s="13" t="s">
        <v>455</v>
      </c>
      <c r="B429" s="13"/>
      <c r="C429" s="6"/>
      <c r="D429" s="6"/>
      <c r="E429" s="8"/>
      <c r="F429" s="8" t="str">
        <f t="shared" si="12"/>
        <v/>
      </c>
      <c r="G429" s="13" t="str">
        <f t="shared" si="13"/>
        <v/>
      </c>
      <c r="H429" s="6"/>
    </row>
    <row r="430" spans="1:8" x14ac:dyDescent="0.25">
      <c r="A430" s="13" t="s">
        <v>456</v>
      </c>
      <c r="B430" s="13"/>
      <c r="C430" s="6"/>
      <c r="D430" s="6"/>
      <c r="E430" s="8"/>
      <c r="F430" s="8" t="str">
        <f t="shared" si="12"/>
        <v/>
      </c>
      <c r="G430" s="13" t="str">
        <f t="shared" si="13"/>
        <v/>
      </c>
      <c r="H430" s="6"/>
    </row>
    <row r="431" spans="1:8" x14ac:dyDescent="0.25">
      <c r="A431" s="13" t="s">
        <v>457</v>
      </c>
      <c r="B431" s="13"/>
      <c r="C431" s="6"/>
      <c r="D431" s="6"/>
      <c r="E431" s="8"/>
      <c r="F431" s="8" t="str">
        <f t="shared" si="12"/>
        <v/>
      </c>
      <c r="G431" s="13" t="str">
        <f t="shared" si="13"/>
        <v/>
      </c>
      <c r="H431" s="6"/>
    </row>
    <row r="432" spans="1:8" x14ac:dyDescent="0.25">
      <c r="A432" s="13" t="s">
        <v>458</v>
      </c>
      <c r="B432" s="13"/>
      <c r="C432" s="6"/>
      <c r="D432" s="6"/>
      <c r="E432" s="8"/>
      <c r="F432" s="8" t="str">
        <f t="shared" si="12"/>
        <v/>
      </c>
      <c r="G432" s="13" t="str">
        <f t="shared" si="13"/>
        <v/>
      </c>
      <c r="H432" s="6"/>
    </row>
    <row r="433" spans="1:8" x14ac:dyDescent="0.25">
      <c r="A433" s="13" t="s">
        <v>459</v>
      </c>
      <c r="B433" s="13"/>
      <c r="C433" s="6"/>
      <c r="D433" s="6"/>
      <c r="E433" s="8"/>
      <c r="F433" s="8" t="str">
        <f t="shared" si="12"/>
        <v/>
      </c>
      <c r="G433" s="13" t="str">
        <f t="shared" si="13"/>
        <v/>
      </c>
      <c r="H433" s="6"/>
    </row>
    <row r="434" spans="1:8" x14ac:dyDescent="0.25">
      <c r="A434" s="13" t="s">
        <v>460</v>
      </c>
      <c r="B434" s="13"/>
      <c r="C434" s="6"/>
      <c r="D434" s="6"/>
      <c r="E434" s="8"/>
      <c r="F434" s="8" t="str">
        <f t="shared" si="12"/>
        <v/>
      </c>
      <c r="G434" s="13" t="str">
        <f t="shared" si="13"/>
        <v/>
      </c>
      <c r="H434" s="6"/>
    </row>
    <row r="435" spans="1:8" x14ac:dyDescent="0.25">
      <c r="A435" s="13" t="s">
        <v>461</v>
      </c>
      <c r="B435" s="13"/>
      <c r="C435" s="6"/>
      <c r="D435" s="6"/>
      <c r="E435" s="8"/>
      <c r="F435" s="8" t="str">
        <f t="shared" si="12"/>
        <v/>
      </c>
      <c r="G435" s="13" t="str">
        <f t="shared" si="13"/>
        <v/>
      </c>
      <c r="H435" s="6"/>
    </row>
    <row r="436" spans="1:8" x14ac:dyDescent="0.25">
      <c r="A436" s="13" t="s">
        <v>462</v>
      </c>
      <c r="B436" s="13"/>
      <c r="C436" s="6"/>
      <c r="D436" s="6"/>
      <c r="E436" s="8"/>
      <c r="F436" s="8" t="str">
        <f t="shared" si="12"/>
        <v/>
      </c>
      <c r="G436" s="13" t="str">
        <f t="shared" si="13"/>
        <v/>
      </c>
      <c r="H436" s="6"/>
    </row>
    <row r="437" spans="1:8" x14ac:dyDescent="0.25">
      <c r="A437" s="13" t="s">
        <v>463</v>
      </c>
      <c r="B437" s="13"/>
      <c r="C437" s="6"/>
      <c r="D437" s="6"/>
      <c r="E437" s="8"/>
      <c r="F437" s="8" t="str">
        <f t="shared" si="12"/>
        <v/>
      </c>
      <c r="G437" s="13" t="str">
        <f t="shared" si="13"/>
        <v/>
      </c>
      <c r="H437" s="6"/>
    </row>
    <row r="438" spans="1:8" x14ac:dyDescent="0.25">
      <c r="A438" s="13" t="s">
        <v>464</v>
      </c>
      <c r="B438" s="13"/>
      <c r="C438" s="6"/>
      <c r="D438" s="6"/>
      <c r="E438" s="8"/>
      <c r="F438" s="8" t="str">
        <f t="shared" si="12"/>
        <v/>
      </c>
      <c r="G438" s="13" t="str">
        <f t="shared" si="13"/>
        <v/>
      </c>
      <c r="H438" s="6"/>
    </row>
    <row r="439" spans="1:8" x14ac:dyDescent="0.25">
      <c r="A439" s="13" t="s">
        <v>465</v>
      </c>
      <c r="B439" s="13"/>
      <c r="C439" s="6"/>
      <c r="D439" s="6"/>
      <c r="E439" s="8"/>
      <c r="F439" s="8" t="str">
        <f t="shared" si="12"/>
        <v/>
      </c>
      <c r="G439" s="13" t="str">
        <f t="shared" si="13"/>
        <v/>
      </c>
      <c r="H439" s="6"/>
    </row>
    <row r="440" spans="1:8" x14ac:dyDescent="0.25">
      <c r="A440" s="13" t="s">
        <v>466</v>
      </c>
      <c r="B440" s="13"/>
      <c r="C440" s="6"/>
      <c r="D440" s="6"/>
      <c r="E440" s="8"/>
      <c r="F440" s="8" t="str">
        <f t="shared" si="12"/>
        <v/>
      </c>
      <c r="G440" s="13" t="str">
        <f t="shared" si="13"/>
        <v/>
      </c>
      <c r="H440" s="6"/>
    </row>
    <row r="441" spans="1:8" x14ac:dyDescent="0.25">
      <c r="A441" s="13" t="s">
        <v>467</v>
      </c>
      <c r="B441" s="13"/>
      <c r="C441" s="6"/>
      <c r="D441" s="6"/>
      <c r="E441" s="8"/>
      <c r="F441" s="8" t="str">
        <f t="shared" si="12"/>
        <v/>
      </c>
      <c r="G441" s="13" t="str">
        <f t="shared" si="13"/>
        <v/>
      </c>
      <c r="H441" s="6"/>
    </row>
    <row r="442" spans="1:8" x14ac:dyDescent="0.25">
      <c r="A442" s="13" t="s">
        <v>468</v>
      </c>
      <c r="B442" s="13"/>
      <c r="C442" s="6"/>
      <c r="D442" s="6"/>
      <c r="E442" s="8"/>
      <c r="F442" s="8" t="str">
        <f t="shared" si="12"/>
        <v/>
      </c>
      <c r="G442" s="13" t="str">
        <f t="shared" si="13"/>
        <v/>
      </c>
      <c r="H442" s="6"/>
    </row>
    <row r="443" spans="1:8" x14ac:dyDescent="0.25">
      <c r="A443" s="13" t="s">
        <v>469</v>
      </c>
      <c r="B443" s="13"/>
      <c r="C443" s="6"/>
      <c r="D443" s="6"/>
      <c r="E443" s="8"/>
      <c r="F443" s="8" t="str">
        <f t="shared" si="12"/>
        <v/>
      </c>
      <c r="G443" s="13" t="str">
        <f t="shared" si="13"/>
        <v/>
      </c>
      <c r="H443" s="6"/>
    </row>
    <row r="444" spans="1:8" x14ac:dyDescent="0.25">
      <c r="A444" s="13" t="s">
        <v>470</v>
      </c>
      <c r="B444" s="13"/>
      <c r="C444" s="6"/>
      <c r="D444" s="6"/>
      <c r="E444" s="8"/>
      <c r="F444" s="8" t="str">
        <f t="shared" si="12"/>
        <v/>
      </c>
      <c r="G444" s="13" t="str">
        <f t="shared" si="13"/>
        <v/>
      </c>
      <c r="H444" s="6"/>
    </row>
    <row r="445" spans="1:8" x14ac:dyDescent="0.25">
      <c r="A445" s="13" t="s">
        <v>471</v>
      </c>
      <c r="B445" s="13"/>
      <c r="C445" s="6"/>
      <c r="D445" s="6"/>
      <c r="E445" s="8"/>
      <c r="F445" s="8" t="str">
        <f t="shared" si="12"/>
        <v/>
      </c>
      <c r="G445" s="13" t="str">
        <f t="shared" si="13"/>
        <v/>
      </c>
      <c r="H445" s="6"/>
    </row>
    <row r="446" spans="1:8" x14ac:dyDescent="0.25">
      <c r="A446" s="13" t="s">
        <v>472</v>
      </c>
      <c r="B446" s="13"/>
      <c r="C446" s="6"/>
      <c r="D446" s="6"/>
      <c r="E446" s="8"/>
      <c r="F446" s="8" t="str">
        <f t="shared" si="12"/>
        <v/>
      </c>
      <c r="G446" s="13" t="str">
        <f t="shared" si="13"/>
        <v/>
      </c>
      <c r="H446" s="6"/>
    </row>
    <row r="447" spans="1:8" x14ac:dyDescent="0.25">
      <c r="A447" s="13" t="s">
        <v>473</v>
      </c>
      <c r="B447" s="13"/>
      <c r="C447" s="6"/>
      <c r="D447" s="6"/>
      <c r="E447" s="8"/>
      <c r="F447" s="8" t="str">
        <f t="shared" si="12"/>
        <v/>
      </c>
      <c r="G447" s="13" t="str">
        <f t="shared" si="13"/>
        <v/>
      </c>
      <c r="H447" s="6"/>
    </row>
    <row r="448" spans="1:8" x14ac:dyDescent="0.25">
      <c r="A448" s="13" t="s">
        <v>474</v>
      </c>
      <c r="B448" s="13"/>
      <c r="C448" s="6"/>
      <c r="D448" s="6"/>
      <c r="E448" s="8"/>
      <c r="F448" s="8" t="str">
        <f t="shared" si="12"/>
        <v/>
      </c>
      <c r="G448" s="13" t="str">
        <f t="shared" si="13"/>
        <v/>
      </c>
      <c r="H448" s="6"/>
    </row>
    <row r="449" spans="1:8" x14ac:dyDescent="0.25">
      <c r="A449" s="13" t="s">
        <v>475</v>
      </c>
      <c r="B449" s="13"/>
      <c r="C449" s="6"/>
      <c r="D449" s="6"/>
      <c r="E449" s="8"/>
      <c r="F449" s="8" t="str">
        <f t="shared" si="12"/>
        <v/>
      </c>
      <c r="G449" s="13" t="str">
        <f t="shared" si="13"/>
        <v/>
      </c>
      <c r="H449" s="6"/>
    </row>
    <row r="450" spans="1:8" x14ac:dyDescent="0.25">
      <c r="A450" s="13" t="s">
        <v>476</v>
      </c>
      <c r="B450" s="13"/>
      <c r="C450" s="6"/>
      <c r="D450" s="6"/>
      <c r="E450" s="8"/>
      <c r="F450" s="8" t="str">
        <f t="shared" si="12"/>
        <v/>
      </c>
      <c r="G450" s="13" t="str">
        <f t="shared" si="13"/>
        <v/>
      </c>
      <c r="H450" s="6"/>
    </row>
    <row r="451" spans="1:8" x14ac:dyDescent="0.25">
      <c r="A451" s="13" t="s">
        <v>477</v>
      </c>
      <c r="B451" s="13"/>
      <c r="C451" s="6"/>
      <c r="D451" s="6"/>
      <c r="E451" s="8"/>
      <c r="F451" s="8" t="str">
        <f t="shared" si="12"/>
        <v/>
      </c>
      <c r="G451" s="13" t="str">
        <f t="shared" si="13"/>
        <v/>
      </c>
      <c r="H451" s="6"/>
    </row>
    <row r="452" spans="1:8" x14ac:dyDescent="0.25">
      <c r="A452" s="13" t="s">
        <v>478</v>
      </c>
      <c r="B452" s="13"/>
      <c r="C452" s="6"/>
      <c r="D452" s="6"/>
      <c r="E452" s="8"/>
      <c r="F452" s="8" t="str">
        <f t="shared" si="12"/>
        <v/>
      </c>
      <c r="G452" s="13" t="str">
        <f t="shared" si="13"/>
        <v/>
      </c>
      <c r="H452" s="6"/>
    </row>
    <row r="453" spans="1:8" x14ac:dyDescent="0.25">
      <c r="A453" s="13" t="s">
        <v>479</v>
      </c>
      <c r="B453" s="13"/>
      <c r="C453" s="6"/>
      <c r="D453" s="6"/>
      <c r="E453" s="8"/>
      <c r="F453" s="8" t="str">
        <f t="shared" si="12"/>
        <v/>
      </c>
      <c r="G453" s="13" t="str">
        <f t="shared" si="13"/>
        <v/>
      </c>
      <c r="H453" s="6"/>
    </row>
    <row r="454" spans="1:8" x14ac:dyDescent="0.25">
      <c r="A454" s="13" t="s">
        <v>480</v>
      </c>
      <c r="B454" s="13"/>
      <c r="C454" s="6"/>
      <c r="D454" s="6"/>
      <c r="E454" s="8"/>
      <c r="F454" s="8" t="str">
        <f t="shared" si="12"/>
        <v/>
      </c>
      <c r="G454" s="13" t="str">
        <f t="shared" si="13"/>
        <v/>
      </c>
      <c r="H454" s="6"/>
    </row>
    <row r="455" spans="1:8" x14ac:dyDescent="0.25">
      <c r="A455" s="13" t="s">
        <v>481</v>
      </c>
      <c r="B455" s="13"/>
      <c r="C455" s="6"/>
      <c r="D455" s="6"/>
      <c r="E455" s="8"/>
      <c r="F455" s="8" t="str">
        <f t="shared" ref="F455:F499" si="14">IF(OR(E455="",E455=0), "", IF(ISNUMBER(F454), F454+E455, E455))</f>
        <v/>
      </c>
      <c r="G455" s="13" t="str">
        <f t="shared" ref="G455:G499" si="15">IF(OR(E455="",E455=0), "", "✓ Received &amp; Logged")</f>
        <v/>
      </c>
      <c r="H455" s="6"/>
    </row>
    <row r="456" spans="1:8" x14ac:dyDescent="0.25">
      <c r="A456" s="13" t="s">
        <v>482</v>
      </c>
      <c r="B456" s="13"/>
      <c r="C456" s="6"/>
      <c r="D456" s="6"/>
      <c r="E456" s="8"/>
      <c r="F456" s="8" t="str">
        <f t="shared" si="14"/>
        <v/>
      </c>
      <c r="G456" s="13" t="str">
        <f t="shared" si="15"/>
        <v/>
      </c>
      <c r="H456" s="6"/>
    </row>
    <row r="457" spans="1:8" x14ac:dyDescent="0.25">
      <c r="A457" s="13" t="s">
        <v>483</v>
      </c>
      <c r="B457" s="13"/>
      <c r="C457" s="6"/>
      <c r="D457" s="6"/>
      <c r="E457" s="8"/>
      <c r="F457" s="8" t="str">
        <f t="shared" si="14"/>
        <v/>
      </c>
      <c r="G457" s="13" t="str">
        <f t="shared" si="15"/>
        <v/>
      </c>
      <c r="H457" s="6"/>
    </row>
    <row r="458" spans="1:8" x14ac:dyDescent="0.25">
      <c r="A458" s="13" t="s">
        <v>484</v>
      </c>
      <c r="B458" s="13"/>
      <c r="C458" s="6"/>
      <c r="D458" s="6"/>
      <c r="E458" s="8"/>
      <c r="F458" s="8" t="str">
        <f t="shared" si="14"/>
        <v/>
      </c>
      <c r="G458" s="13" t="str">
        <f t="shared" si="15"/>
        <v/>
      </c>
      <c r="H458" s="6"/>
    </row>
    <row r="459" spans="1:8" x14ac:dyDescent="0.25">
      <c r="A459" s="13" t="s">
        <v>485</v>
      </c>
      <c r="B459" s="13"/>
      <c r="C459" s="6"/>
      <c r="D459" s="6"/>
      <c r="E459" s="8"/>
      <c r="F459" s="8" t="str">
        <f t="shared" si="14"/>
        <v/>
      </c>
      <c r="G459" s="13" t="str">
        <f t="shared" si="15"/>
        <v/>
      </c>
      <c r="H459" s="6"/>
    </row>
    <row r="460" spans="1:8" x14ac:dyDescent="0.25">
      <c r="A460" s="13" t="s">
        <v>486</v>
      </c>
      <c r="B460" s="13"/>
      <c r="C460" s="6"/>
      <c r="D460" s="6"/>
      <c r="E460" s="8"/>
      <c r="F460" s="8" t="str">
        <f t="shared" si="14"/>
        <v/>
      </c>
      <c r="G460" s="13" t="str">
        <f t="shared" si="15"/>
        <v/>
      </c>
      <c r="H460" s="6"/>
    </row>
    <row r="461" spans="1:8" x14ac:dyDescent="0.25">
      <c r="A461" s="13" t="s">
        <v>487</v>
      </c>
      <c r="B461" s="13"/>
      <c r="C461" s="6"/>
      <c r="D461" s="6"/>
      <c r="E461" s="8"/>
      <c r="F461" s="8" t="str">
        <f t="shared" si="14"/>
        <v/>
      </c>
      <c r="G461" s="13" t="str">
        <f t="shared" si="15"/>
        <v/>
      </c>
      <c r="H461" s="6"/>
    </row>
    <row r="462" spans="1:8" x14ac:dyDescent="0.25">
      <c r="A462" s="13" t="s">
        <v>488</v>
      </c>
      <c r="B462" s="13"/>
      <c r="C462" s="6"/>
      <c r="D462" s="6"/>
      <c r="E462" s="8"/>
      <c r="F462" s="8" t="str">
        <f t="shared" si="14"/>
        <v/>
      </c>
      <c r="G462" s="13" t="str">
        <f t="shared" si="15"/>
        <v/>
      </c>
      <c r="H462" s="6"/>
    </row>
    <row r="463" spans="1:8" x14ac:dyDescent="0.25">
      <c r="A463" s="13" t="s">
        <v>489</v>
      </c>
      <c r="B463" s="13"/>
      <c r="C463" s="6"/>
      <c r="D463" s="6"/>
      <c r="E463" s="8"/>
      <c r="F463" s="8" t="str">
        <f t="shared" si="14"/>
        <v/>
      </c>
      <c r="G463" s="13" t="str">
        <f t="shared" si="15"/>
        <v/>
      </c>
      <c r="H463" s="6"/>
    </row>
    <row r="464" spans="1:8" x14ac:dyDescent="0.25">
      <c r="A464" s="13" t="s">
        <v>490</v>
      </c>
      <c r="B464" s="13"/>
      <c r="C464" s="6"/>
      <c r="D464" s="6"/>
      <c r="E464" s="8"/>
      <c r="F464" s="8" t="str">
        <f t="shared" si="14"/>
        <v/>
      </c>
      <c r="G464" s="13" t="str">
        <f t="shared" si="15"/>
        <v/>
      </c>
      <c r="H464" s="6"/>
    </row>
    <row r="465" spans="1:8" x14ac:dyDescent="0.25">
      <c r="A465" s="13" t="s">
        <v>491</v>
      </c>
      <c r="B465" s="13"/>
      <c r="C465" s="6"/>
      <c r="D465" s="6"/>
      <c r="E465" s="8"/>
      <c r="F465" s="8" t="str">
        <f t="shared" si="14"/>
        <v/>
      </c>
      <c r="G465" s="13" t="str">
        <f t="shared" si="15"/>
        <v/>
      </c>
      <c r="H465" s="6"/>
    </row>
    <row r="466" spans="1:8" x14ac:dyDescent="0.25">
      <c r="A466" s="13" t="s">
        <v>492</v>
      </c>
      <c r="B466" s="13"/>
      <c r="C466" s="6"/>
      <c r="D466" s="6"/>
      <c r="E466" s="8"/>
      <c r="F466" s="8" t="str">
        <f t="shared" si="14"/>
        <v/>
      </c>
      <c r="G466" s="13" t="str">
        <f t="shared" si="15"/>
        <v/>
      </c>
      <c r="H466" s="6"/>
    </row>
    <row r="467" spans="1:8" x14ac:dyDescent="0.25">
      <c r="A467" s="13" t="s">
        <v>493</v>
      </c>
      <c r="B467" s="13"/>
      <c r="C467" s="6"/>
      <c r="D467" s="6"/>
      <c r="E467" s="8"/>
      <c r="F467" s="8" t="str">
        <f t="shared" si="14"/>
        <v/>
      </c>
      <c r="G467" s="13" t="str">
        <f t="shared" si="15"/>
        <v/>
      </c>
      <c r="H467" s="6"/>
    </row>
    <row r="468" spans="1:8" x14ac:dyDescent="0.25">
      <c r="A468" s="13" t="s">
        <v>494</v>
      </c>
      <c r="B468" s="13"/>
      <c r="C468" s="6"/>
      <c r="D468" s="6"/>
      <c r="E468" s="8"/>
      <c r="F468" s="8" t="str">
        <f t="shared" si="14"/>
        <v/>
      </c>
      <c r="G468" s="13" t="str">
        <f t="shared" si="15"/>
        <v/>
      </c>
      <c r="H468" s="6"/>
    </row>
    <row r="469" spans="1:8" x14ac:dyDescent="0.25">
      <c r="A469" s="13" t="s">
        <v>495</v>
      </c>
      <c r="B469" s="13"/>
      <c r="C469" s="6"/>
      <c r="D469" s="6"/>
      <c r="E469" s="8"/>
      <c r="F469" s="8" t="str">
        <f t="shared" si="14"/>
        <v/>
      </c>
      <c r="G469" s="13" t="str">
        <f t="shared" si="15"/>
        <v/>
      </c>
      <c r="H469" s="6"/>
    </row>
    <row r="470" spans="1:8" x14ac:dyDescent="0.25">
      <c r="A470" s="13" t="s">
        <v>496</v>
      </c>
      <c r="B470" s="13"/>
      <c r="C470" s="6"/>
      <c r="D470" s="6"/>
      <c r="E470" s="8"/>
      <c r="F470" s="8" t="str">
        <f t="shared" si="14"/>
        <v/>
      </c>
      <c r="G470" s="13" t="str">
        <f t="shared" si="15"/>
        <v/>
      </c>
      <c r="H470" s="6"/>
    </row>
    <row r="471" spans="1:8" x14ac:dyDescent="0.25">
      <c r="A471" s="13" t="s">
        <v>497</v>
      </c>
      <c r="B471" s="13"/>
      <c r="C471" s="6"/>
      <c r="D471" s="6"/>
      <c r="E471" s="8"/>
      <c r="F471" s="8" t="str">
        <f t="shared" si="14"/>
        <v/>
      </c>
      <c r="G471" s="13" t="str">
        <f t="shared" si="15"/>
        <v/>
      </c>
      <c r="H471" s="6"/>
    </row>
    <row r="472" spans="1:8" x14ac:dyDescent="0.25">
      <c r="A472" s="13" t="s">
        <v>498</v>
      </c>
      <c r="B472" s="13"/>
      <c r="C472" s="6"/>
      <c r="D472" s="6"/>
      <c r="E472" s="8"/>
      <c r="F472" s="8" t="str">
        <f t="shared" si="14"/>
        <v/>
      </c>
      <c r="G472" s="13" t="str">
        <f t="shared" si="15"/>
        <v/>
      </c>
      <c r="H472" s="6"/>
    </row>
    <row r="473" spans="1:8" x14ac:dyDescent="0.25">
      <c r="A473" s="13" t="s">
        <v>499</v>
      </c>
      <c r="B473" s="13"/>
      <c r="C473" s="6"/>
      <c r="D473" s="6"/>
      <c r="E473" s="8"/>
      <c r="F473" s="8" t="str">
        <f t="shared" si="14"/>
        <v/>
      </c>
      <c r="G473" s="13" t="str">
        <f t="shared" si="15"/>
        <v/>
      </c>
      <c r="H473" s="6"/>
    </row>
    <row r="474" spans="1:8" x14ac:dyDescent="0.25">
      <c r="A474" s="13" t="s">
        <v>500</v>
      </c>
      <c r="B474" s="13"/>
      <c r="C474" s="6"/>
      <c r="D474" s="6"/>
      <c r="E474" s="8"/>
      <c r="F474" s="8" t="str">
        <f t="shared" si="14"/>
        <v/>
      </c>
      <c r="G474" s="13" t="str">
        <f t="shared" si="15"/>
        <v/>
      </c>
      <c r="H474" s="6"/>
    </row>
    <row r="475" spans="1:8" x14ac:dyDescent="0.25">
      <c r="A475" s="13" t="s">
        <v>501</v>
      </c>
      <c r="B475" s="13"/>
      <c r="C475" s="6"/>
      <c r="D475" s="6"/>
      <c r="E475" s="8"/>
      <c r="F475" s="8" t="str">
        <f t="shared" si="14"/>
        <v/>
      </c>
      <c r="G475" s="13" t="str">
        <f t="shared" si="15"/>
        <v/>
      </c>
      <c r="H475" s="6"/>
    </row>
    <row r="476" spans="1:8" x14ac:dyDescent="0.25">
      <c r="A476" s="13" t="s">
        <v>502</v>
      </c>
      <c r="B476" s="13"/>
      <c r="C476" s="6"/>
      <c r="D476" s="6"/>
      <c r="E476" s="8"/>
      <c r="F476" s="8" t="str">
        <f t="shared" si="14"/>
        <v/>
      </c>
      <c r="G476" s="13" t="str">
        <f t="shared" si="15"/>
        <v/>
      </c>
      <c r="H476" s="6"/>
    </row>
    <row r="477" spans="1:8" x14ac:dyDescent="0.25">
      <c r="A477" s="13" t="s">
        <v>503</v>
      </c>
      <c r="B477" s="13"/>
      <c r="C477" s="6"/>
      <c r="D477" s="6"/>
      <c r="E477" s="8"/>
      <c r="F477" s="8" t="str">
        <f t="shared" si="14"/>
        <v/>
      </c>
      <c r="G477" s="13" t="str">
        <f t="shared" si="15"/>
        <v/>
      </c>
      <c r="H477" s="6"/>
    </row>
    <row r="478" spans="1:8" x14ac:dyDescent="0.25">
      <c r="A478" s="13" t="s">
        <v>504</v>
      </c>
      <c r="B478" s="13"/>
      <c r="C478" s="6"/>
      <c r="D478" s="6"/>
      <c r="E478" s="8"/>
      <c r="F478" s="8" t="str">
        <f t="shared" si="14"/>
        <v/>
      </c>
      <c r="G478" s="13" t="str">
        <f t="shared" si="15"/>
        <v/>
      </c>
      <c r="H478" s="6"/>
    </row>
    <row r="479" spans="1:8" x14ac:dyDescent="0.25">
      <c r="A479" s="13" t="s">
        <v>505</v>
      </c>
      <c r="B479" s="13"/>
      <c r="C479" s="6"/>
      <c r="D479" s="6"/>
      <c r="E479" s="8"/>
      <c r="F479" s="8" t="str">
        <f t="shared" si="14"/>
        <v/>
      </c>
      <c r="G479" s="13" t="str">
        <f t="shared" si="15"/>
        <v/>
      </c>
      <c r="H479" s="6"/>
    </row>
    <row r="480" spans="1:8" x14ac:dyDescent="0.25">
      <c r="A480" s="13" t="s">
        <v>506</v>
      </c>
      <c r="B480" s="13"/>
      <c r="C480" s="6"/>
      <c r="D480" s="6"/>
      <c r="E480" s="8"/>
      <c r="F480" s="8" t="str">
        <f t="shared" si="14"/>
        <v/>
      </c>
      <c r="G480" s="13" t="str">
        <f t="shared" si="15"/>
        <v/>
      </c>
      <c r="H480" s="6"/>
    </row>
    <row r="481" spans="1:8" x14ac:dyDescent="0.25">
      <c r="A481" s="13" t="s">
        <v>507</v>
      </c>
      <c r="B481" s="13"/>
      <c r="C481" s="6"/>
      <c r="D481" s="6"/>
      <c r="E481" s="8"/>
      <c r="F481" s="8" t="str">
        <f t="shared" si="14"/>
        <v/>
      </c>
      <c r="G481" s="13" t="str">
        <f t="shared" si="15"/>
        <v/>
      </c>
      <c r="H481" s="6"/>
    </row>
    <row r="482" spans="1:8" x14ac:dyDescent="0.25">
      <c r="A482" s="13" t="s">
        <v>508</v>
      </c>
      <c r="B482" s="13"/>
      <c r="C482" s="6"/>
      <c r="D482" s="6"/>
      <c r="E482" s="8"/>
      <c r="F482" s="8" t="str">
        <f t="shared" si="14"/>
        <v/>
      </c>
      <c r="G482" s="13" t="str">
        <f t="shared" si="15"/>
        <v/>
      </c>
      <c r="H482" s="6"/>
    </row>
    <row r="483" spans="1:8" x14ac:dyDescent="0.25">
      <c r="A483" s="13" t="s">
        <v>509</v>
      </c>
      <c r="B483" s="13"/>
      <c r="C483" s="6"/>
      <c r="D483" s="6"/>
      <c r="E483" s="8"/>
      <c r="F483" s="8" t="str">
        <f t="shared" si="14"/>
        <v/>
      </c>
      <c r="G483" s="13" t="str">
        <f t="shared" si="15"/>
        <v/>
      </c>
      <c r="H483" s="6"/>
    </row>
    <row r="484" spans="1:8" x14ac:dyDescent="0.25">
      <c r="A484" s="13" t="s">
        <v>510</v>
      </c>
      <c r="B484" s="13"/>
      <c r="C484" s="6"/>
      <c r="D484" s="6"/>
      <c r="E484" s="8"/>
      <c r="F484" s="8" t="str">
        <f t="shared" si="14"/>
        <v/>
      </c>
      <c r="G484" s="13" t="str">
        <f t="shared" si="15"/>
        <v/>
      </c>
      <c r="H484" s="6"/>
    </row>
    <row r="485" spans="1:8" x14ac:dyDescent="0.25">
      <c r="A485" s="13" t="s">
        <v>511</v>
      </c>
      <c r="B485" s="13"/>
      <c r="C485" s="6"/>
      <c r="D485" s="6"/>
      <c r="E485" s="8"/>
      <c r="F485" s="8" t="str">
        <f t="shared" si="14"/>
        <v/>
      </c>
      <c r="G485" s="13" t="str">
        <f t="shared" si="15"/>
        <v/>
      </c>
      <c r="H485" s="6"/>
    </row>
    <row r="486" spans="1:8" x14ac:dyDescent="0.25">
      <c r="A486" s="13" t="s">
        <v>512</v>
      </c>
      <c r="B486" s="13"/>
      <c r="C486" s="6"/>
      <c r="D486" s="6"/>
      <c r="E486" s="8"/>
      <c r="F486" s="8" t="str">
        <f t="shared" si="14"/>
        <v/>
      </c>
      <c r="G486" s="13" t="str">
        <f t="shared" si="15"/>
        <v/>
      </c>
      <c r="H486" s="6"/>
    </row>
    <row r="487" spans="1:8" x14ac:dyDescent="0.25">
      <c r="A487" s="13" t="s">
        <v>513</v>
      </c>
      <c r="B487" s="13"/>
      <c r="C487" s="6"/>
      <c r="D487" s="6"/>
      <c r="E487" s="8"/>
      <c r="F487" s="8" t="str">
        <f t="shared" si="14"/>
        <v/>
      </c>
      <c r="G487" s="13" t="str">
        <f t="shared" si="15"/>
        <v/>
      </c>
      <c r="H487" s="6"/>
    </row>
    <row r="488" spans="1:8" x14ac:dyDescent="0.25">
      <c r="A488" s="13" t="s">
        <v>514</v>
      </c>
      <c r="B488" s="13"/>
      <c r="C488" s="6"/>
      <c r="D488" s="6"/>
      <c r="E488" s="8"/>
      <c r="F488" s="8" t="str">
        <f t="shared" si="14"/>
        <v/>
      </c>
      <c r="G488" s="13" t="str">
        <f t="shared" si="15"/>
        <v/>
      </c>
      <c r="H488" s="6"/>
    </row>
    <row r="489" spans="1:8" x14ac:dyDescent="0.25">
      <c r="A489" s="13" t="s">
        <v>515</v>
      </c>
      <c r="B489" s="13"/>
      <c r="C489" s="6"/>
      <c r="D489" s="6"/>
      <c r="E489" s="8"/>
      <c r="F489" s="8" t="str">
        <f t="shared" si="14"/>
        <v/>
      </c>
      <c r="G489" s="13" t="str">
        <f t="shared" si="15"/>
        <v/>
      </c>
      <c r="H489" s="6"/>
    </row>
    <row r="490" spans="1:8" x14ac:dyDescent="0.25">
      <c r="A490" s="13" t="s">
        <v>516</v>
      </c>
      <c r="B490" s="13"/>
      <c r="C490" s="6"/>
      <c r="D490" s="6"/>
      <c r="E490" s="8"/>
      <c r="F490" s="8" t="str">
        <f t="shared" si="14"/>
        <v/>
      </c>
      <c r="G490" s="13" t="str">
        <f t="shared" si="15"/>
        <v/>
      </c>
      <c r="H490" s="6"/>
    </row>
    <row r="491" spans="1:8" x14ac:dyDescent="0.25">
      <c r="A491" s="13" t="s">
        <v>517</v>
      </c>
      <c r="B491" s="13"/>
      <c r="C491" s="6"/>
      <c r="D491" s="6"/>
      <c r="E491" s="8"/>
      <c r="F491" s="8" t="str">
        <f t="shared" si="14"/>
        <v/>
      </c>
      <c r="G491" s="13" t="str">
        <f t="shared" si="15"/>
        <v/>
      </c>
      <c r="H491" s="6"/>
    </row>
    <row r="492" spans="1:8" x14ac:dyDescent="0.25">
      <c r="A492" s="13" t="s">
        <v>518</v>
      </c>
      <c r="B492" s="13"/>
      <c r="C492" s="6"/>
      <c r="D492" s="6"/>
      <c r="E492" s="8"/>
      <c r="F492" s="8" t="str">
        <f t="shared" si="14"/>
        <v/>
      </c>
      <c r="G492" s="13" t="str">
        <f t="shared" si="15"/>
        <v/>
      </c>
      <c r="H492" s="6"/>
    </row>
    <row r="493" spans="1:8" x14ac:dyDescent="0.25">
      <c r="A493" s="13" t="s">
        <v>519</v>
      </c>
      <c r="B493" s="13"/>
      <c r="C493" s="6"/>
      <c r="D493" s="6"/>
      <c r="E493" s="8"/>
      <c r="F493" s="8" t="str">
        <f t="shared" si="14"/>
        <v/>
      </c>
      <c r="G493" s="13" t="str">
        <f t="shared" si="15"/>
        <v/>
      </c>
      <c r="H493" s="6"/>
    </row>
    <row r="494" spans="1:8" x14ac:dyDescent="0.25">
      <c r="A494" s="13" t="s">
        <v>520</v>
      </c>
      <c r="B494" s="13"/>
      <c r="C494" s="6"/>
      <c r="D494" s="6"/>
      <c r="E494" s="8"/>
      <c r="F494" s="8" t="str">
        <f t="shared" si="14"/>
        <v/>
      </c>
      <c r="G494" s="13" t="str">
        <f t="shared" si="15"/>
        <v/>
      </c>
      <c r="H494" s="6"/>
    </row>
    <row r="495" spans="1:8" x14ac:dyDescent="0.25">
      <c r="A495" s="13" t="s">
        <v>521</v>
      </c>
      <c r="B495" s="13"/>
      <c r="C495" s="6"/>
      <c r="D495" s="6"/>
      <c r="E495" s="8"/>
      <c r="F495" s="8" t="str">
        <f t="shared" si="14"/>
        <v/>
      </c>
      <c r="G495" s="13" t="str">
        <f t="shared" si="15"/>
        <v/>
      </c>
      <c r="H495" s="6"/>
    </row>
    <row r="496" spans="1:8" x14ac:dyDescent="0.25">
      <c r="A496" s="13" t="s">
        <v>522</v>
      </c>
      <c r="B496" s="13"/>
      <c r="C496" s="6"/>
      <c r="D496" s="6"/>
      <c r="E496" s="8"/>
      <c r="F496" s="8" t="str">
        <f t="shared" si="14"/>
        <v/>
      </c>
      <c r="G496" s="13" t="str">
        <f t="shared" si="15"/>
        <v/>
      </c>
      <c r="H496" s="6"/>
    </row>
    <row r="497" spans="1:8" x14ac:dyDescent="0.25">
      <c r="A497" s="13" t="s">
        <v>523</v>
      </c>
      <c r="B497" s="13"/>
      <c r="C497" s="6"/>
      <c r="D497" s="6"/>
      <c r="E497" s="8"/>
      <c r="F497" s="8" t="str">
        <f t="shared" si="14"/>
        <v/>
      </c>
      <c r="G497" s="13" t="str">
        <f t="shared" si="15"/>
        <v/>
      </c>
      <c r="H497" s="6"/>
    </row>
    <row r="498" spans="1:8" x14ac:dyDescent="0.25">
      <c r="A498" s="13" t="s">
        <v>524</v>
      </c>
      <c r="B498" s="13"/>
      <c r="C498" s="6"/>
      <c r="D498" s="6"/>
      <c r="E498" s="8"/>
      <c r="F498" s="8" t="str">
        <f t="shared" si="14"/>
        <v/>
      </c>
      <c r="G498" s="13" t="str">
        <f t="shared" si="15"/>
        <v/>
      </c>
      <c r="H498" s="6"/>
    </row>
    <row r="499" spans="1:8" x14ac:dyDescent="0.25">
      <c r="A499" s="13" t="s">
        <v>525</v>
      </c>
      <c r="B499" s="13"/>
      <c r="C499" s="6"/>
      <c r="D499" s="6"/>
      <c r="E499" s="8"/>
      <c r="F499" s="8" t="str">
        <f t="shared" si="14"/>
        <v/>
      </c>
      <c r="G499" s="13" t="str">
        <f t="shared" si="15"/>
        <v/>
      </c>
      <c r="H499" s="6"/>
    </row>
    <row r="500" spans="1:8" x14ac:dyDescent="0.25">
      <c r="A500" s="39" t="s">
        <v>526</v>
      </c>
      <c r="B500" s="40"/>
      <c r="C500" s="40"/>
      <c r="D500" s="40"/>
      <c r="E500" s="16">
        <f>SUM(E5:E499)</f>
        <v>15917478.1</v>
      </c>
      <c r="F500" s="16">
        <f>MAX(F5:F499)</f>
        <v>0</v>
      </c>
      <c r="G500" s="15"/>
      <c r="H500" s="15"/>
    </row>
  </sheetData>
  <mergeCells count="2">
    <mergeCell ref="A500:D500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1"/>
  <sheetViews>
    <sheetView workbookViewId="0">
      <selection activeCell="I4" sqref="I4"/>
    </sheetView>
  </sheetViews>
  <sheetFormatPr defaultRowHeight="15" x14ac:dyDescent="0.25"/>
  <cols>
    <col min="1" max="1" width="15" customWidth="1"/>
    <col min="2" max="2" width="16" customWidth="1"/>
    <col min="3" max="3" width="24" customWidth="1"/>
    <col min="4" max="4" width="26" customWidth="1"/>
    <col min="5" max="5" width="20" customWidth="1"/>
    <col min="6" max="7" width="22" customWidth="1"/>
    <col min="8" max="9" width="28" customWidth="1"/>
    <col min="10" max="10" width="26" customWidth="1"/>
    <col min="11" max="11" width="40" customWidth="1"/>
  </cols>
  <sheetData>
    <row r="1" spans="1:11" ht="30.75" x14ac:dyDescent="0.3">
      <c r="A1" s="54" t="s">
        <v>1065</v>
      </c>
      <c r="B1" s="54"/>
      <c r="C1" s="54"/>
      <c r="D1" s="54"/>
      <c r="E1" s="53" t="s">
        <v>1064</v>
      </c>
    </row>
    <row r="2" spans="1:11" x14ac:dyDescent="0.25">
      <c r="A2" s="2"/>
    </row>
    <row r="4" spans="1:11" ht="25.5" x14ac:dyDescent="0.25">
      <c r="A4" s="5" t="s">
        <v>527</v>
      </c>
      <c r="B4" s="5" t="s">
        <v>528</v>
      </c>
      <c r="C4" s="5" t="s">
        <v>529</v>
      </c>
      <c r="D4" s="5" t="s">
        <v>530</v>
      </c>
      <c r="E4" s="5" t="s">
        <v>531</v>
      </c>
      <c r="F4" s="5" t="s">
        <v>532</v>
      </c>
      <c r="G4" s="5" t="s">
        <v>1066</v>
      </c>
      <c r="H4" s="5" t="s">
        <v>1067</v>
      </c>
      <c r="I4" s="5" t="s">
        <v>1068</v>
      </c>
      <c r="J4" s="5" t="s">
        <v>533</v>
      </c>
      <c r="K4" s="5" t="s">
        <v>534</v>
      </c>
    </row>
    <row r="5" spans="1:11" x14ac:dyDescent="0.25">
      <c r="A5" s="13" t="s">
        <v>535</v>
      </c>
      <c r="B5" s="34">
        <v>46063</v>
      </c>
      <c r="C5" s="35" t="s">
        <v>1050</v>
      </c>
      <c r="D5" s="36" t="s">
        <v>1050</v>
      </c>
      <c r="E5" s="35" t="s">
        <v>536</v>
      </c>
      <c r="F5" s="37">
        <v>86000</v>
      </c>
      <c r="G5" s="37">
        <v>51.8</v>
      </c>
      <c r="H5" s="37">
        <f>IF(AND(ISNUMBER(F5),ISNUMBER(G5),F5&gt;0,G5&gt;0), ROUND(F5*G5, 2), "")</f>
        <v>4454800</v>
      </c>
      <c r="I5" s="37">
        <f>IF(H5&gt;0, H5, 0)</f>
        <v>4454800</v>
      </c>
      <c r="J5" s="6"/>
      <c r="K5" s="6"/>
    </row>
    <row r="6" spans="1:11" x14ac:dyDescent="0.25">
      <c r="A6" s="13" t="s">
        <v>537</v>
      </c>
      <c r="B6" s="27">
        <v>46032</v>
      </c>
      <c r="C6" s="28"/>
      <c r="D6" s="29" t="s">
        <v>1049</v>
      </c>
      <c r="E6" s="28" t="s">
        <v>536</v>
      </c>
      <c r="F6" s="30">
        <v>60000</v>
      </c>
      <c r="G6" s="30">
        <v>51.9</v>
      </c>
      <c r="H6" s="30">
        <f>SUM(G6*F6)</f>
        <v>3114000</v>
      </c>
      <c r="I6" s="30">
        <f t="shared" ref="I6:I8" si="0">IF(H6&gt;0, H6, 0)</f>
        <v>3114000</v>
      </c>
      <c r="J6" s="6"/>
      <c r="K6" s="6"/>
    </row>
    <row r="7" spans="1:11" x14ac:dyDescent="0.25">
      <c r="A7" s="13" t="s">
        <v>538</v>
      </c>
      <c r="B7" s="27">
        <v>46032</v>
      </c>
      <c r="C7" s="28"/>
      <c r="D7" s="29" t="s">
        <v>1049</v>
      </c>
      <c r="E7" s="28" t="s">
        <v>536</v>
      </c>
      <c r="F7" s="30">
        <v>15000</v>
      </c>
      <c r="G7" s="30">
        <v>51.9</v>
      </c>
      <c r="H7" s="30">
        <f t="shared" ref="H7:H68" si="1">IF(AND(ISNUMBER(F7),ISNUMBER(G7),F7&gt;0,G7&gt;0), ROUND(F7*G7, 2), "")</f>
        <v>778500</v>
      </c>
      <c r="I7" s="30">
        <f t="shared" si="0"/>
        <v>778500</v>
      </c>
      <c r="J7" s="6"/>
      <c r="K7" s="6"/>
    </row>
    <row r="8" spans="1:11" x14ac:dyDescent="0.25">
      <c r="A8" s="13" t="s">
        <v>539</v>
      </c>
      <c r="B8" s="27">
        <v>46032</v>
      </c>
      <c r="C8" s="28"/>
      <c r="D8" s="29" t="s">
        <v>1049</v>
      </c>
      <c r="E8" s="28" t="s">
        <v>536</v>
      </c>
      <c r="F8" s="30">
        <v>25000</v>
      </c>
      <c r="G8" s="30">
        <v>51.9</v>
      </c>
      <c r="H8" s="30">
        <f t="shared" si="1"/>
        <v>1297500</v>
      </c>
      <c r="I8" s="30">
        <f t="shared" si="0"/>
        <v>1297500</v>
      </c>
      <c r="J8" s="6"/>
      <c r="K8" s="6"/>
    </row>
    <row r="9" spans="1:11" x14ac:dyDescent="0.25">
      <c r="A9" s="13" t="s">
        <v>540</v>
      </c>
      <c r="B9" s="24"/>
      <c r="C9" s="24" t="s">
        <v>1051</v>
      </c>
      <c r="D9" s="25"/>
      <c r="E9" s="24"/>
      <c r="F9" s="26"/>
      <c r="G9" s="26"/>
      <c r="H9" s="26">
        <v>15917478.1</v>
      </c>
      <c r="I9" s="26">
        <v>15917478.1</v>
      </c>
      <c r="J9" s="6"/>
      <c r="K9" s="6"/>
    </row>
    <row r="10" spans="1:11" x14ac:dyDescent="0.25">
      <c r="A10" s="13" t="s">
        <v>541</v>
      </c>
      <c r="B10" s="28"/>
      <c r="C10" s="28"/>
      <c r="D10" s="29" t="s">
        <v>1049</v>
      </c>
      <c r="E10" s="28"/>
      <c r="F10" s="30">
        <v>19800</v>
      </c>
      <c r="G10" s="30">
        <v>51.9</v>
      </c>
      <c r="H10" s="30">
        <f>SUM(G10*F10)</f>
        <v>1027620</v>
      </c>
      <c r="I10" s="30">
        <f>SUM(H10*G10)</f>
        <v>53333478</v>
      </c>
      <c r="J10" s="6"/>
      <c r="K10" s="6"/>
    </row>
    <row r="11" spans="1:11" x14ac:dyDescent="0.25">
      <c r="A11" s="17" t="s">
        <v>542</v>
      </c>
      <c r="B11" s="31"/>
      <c r="C11" s="31"/>
      <c r="D11" s="32" t="s">
        <v>1049</v>
      </c>
      <c r="E11" s="31"/>
      <c r="F11" s="30">
        <v>76000</v>
      </c>
      <c r="G11" s="33">
        <v>51.9</v>
      </c>
      <c r="H11" s="30">
        <f>IF(AND(ISNUMBER(F11),ISNUMBER(G11),F11&gt;0,G11&gt;0), ROUND(F11*G11, 2), "")</f>
        <v>3944400</v>
      </c>
      <c r="I11" s="30">
        <f>IF(AND(ISNUMBER(G11),ISNUMBER(H11),G11&gt;0,H11&gt;0), ROUND(G11*H11, 2), "")</f>
        <v>204714360</v>
      </c>
      <c r="J11" s="18"/>
      <c r="K11" s="18"/>
    </row>
    <row r="12" spans="1:11" x14ac:dyDescent="0.25">
      <c r="A12" s="13" t="s">
        <v>543</v>
      </c>
      <c r="B12" s="13"/>
      <c r="C12" s="13"/>
      <c r="D12" s="6"/>
      <c r="E12" s="13"/>
      <c r="F12" s="8"/>
      <c r="G12" s="8"/>
      <c r="H12" s="8" t="str">
        <f t="shared" si="1"/>
        <v/>
      </c>
      <c r="I12" s="8" t="str">
        <f t="shared" ref="I12:I75" si="2">IF(OR(H12="",H12=0), "", IF(ISNUMBER(I11), I11+H12, H12))</f>
        <v/>
      </c>
      <c r="J12" s="6"/>
      <c r="K12" s="6"/>
    </row>
    <row r="13" spans="1:11" x14ac:dyDescent="0.25">
      <c r="A13" s="13" t="s">
        <v>544</v>
      </c>
      <c r="B13" s="13"/>
      <c r="C13" s="13"/>
      <c r="D13" s="6"/>
      <c r="E13" s="13"/>
      <c r="F13" s="8"/>
      <c r="G13" s="8"/>
      <c r="H13" s="8" t="str">
        <f t="shared" si="1"/>
        <v/>
      </c>
      <c r="I13" s="8" t="str">
        <f t="shared" si="2"/>
        <v/>
      </c>
      <c r="J13" s="6"/>
      <c r="K13" s="6"/>
    </row>
    <row r="14" spans="1:11" x14ac:dyDescent="0.25">
      <c r="A14" s="13" t="s">
        <v>545</v>
      </c>
      <c r="B14" s="13"/>
      <c r="C14" s="13"/>
      <c r="D14" s="6"/>
      <c r="E14" s="13"/>
      <c r="F14" s="8"/>
      <c r="G14" s="8"/>
      <c r="H14" s="8" t="str">
        <f t="shared" si="1"/>
        <v/>
      </c>
      <c r="I14" s="8" t="str">
        <f t="shared" si="2"/>
        <v/>
      </c>
      <c r="J14" s="6"/>
      <c r="K14" s="6"/>
    </row>
    <row r="15" spans="1:11" x14ac:dyDescent="0.25">
      <c r="A15" s="13" t="s">
        <v>546</v>
      </c>
      <c r="B15" s="13"/>
      <c r="C15" s="13"/>
      <c r="D15" s="6"/>
      <c r="E15" s="13"/>
      <c r="F15" s="8"/>
      <c r="G15" s="8"/>
      <c r="H15" s="8" t="str">
        <f t="shared" si="1"/>
        <v/>
      </c>
      <c r="I15" s="8" t="str">
        <f t="shared" si="2"/>
        <v/>
      </c>
      <c r="J15" s="6"/>
      <c r="K15" s="6"/>
    </row>
    <row r="16" spans="1:11" x14ac:dyDescent="0.25">
      <c r="A16" s="13" t="s">
        <v>547</v>
      </c>
      <c r="B16" s="13"/>
      <c r="C16" s="13"/>
      <c r="D16" s="6"/>
      <c r="E16" s="13"/>
      <c r="F16" s="8"/>
      <c r="G16" s="8"/>
      <c r="H16" s="8" t="str">
        <f t="shared" si="1"/>
        <v/>
      </c>
      <c r="I16" s="8" t="str">
        <f t="shared" si="2"/>
        <v/>
      </c>
      <c r="J16" s="6"/>
      <c r="K16" s="6"/>
    </row>
    <row r="17" spans="1:11" x14ac:dyDescent="0.25">
      <c r="A17" s="13" t="s">
        <v>548</v>
      </c>
      <c r="B17" s="13"/>
      <c r="C17" s="13"/>
      <c r="D17" s="6"/>
      <c r="E17" s="13"/>
      <c r="F17" s="8"/>
      <c r="G17" s="8"/>
      <c r="H17" s="8" t="str">
        <f t="shared" si="1"/>
        <v/>
      </c>
      <c r="I17" s="8" t="str">
        <f t="shared" si="2"/>
        <v/>
      </c>
      <c r="J17" s="6"/>
      <c r="K17" s="6"/>
    </row>
    <row r="18" spans="1:11" x14ac:dyDescent="0.25">
      <c r="A18" s="13" t="s">
        <v>549</v>
      </c>
      <c r="B18" s="13"/>
      <c r="C18" s="13"/>
      <c r="D18" s="6"/>
      <c r="E18" s="13"/>
      <c r="F18" s="8"/>
      <c r="G18" s="8"/>
      <c r="H18" s="8" t="str">
        <f t="shared" si="1"/>
        <v/>
      </c>
      <c r="I18" s="8" t="str">
        <f t="shared" si="2"/>
        <v/>
      </c>
      <c r="J18" s="6"/>
      <c r="K18" s="6"/>
    </row>
    <row r="19" spans="1:11" x14ac:dyDescent="0.25">
      <c r="A19" s="13" t="s">
        <v>550</v>
      </c>
      <c r="B19" s="13"/>
      <c r="C19" s="13"/>
      <c r="D19" s="6"/>
      <c r="E19" s="13"/>
      <c r="F19" s="8"/>
      <c r="G19" s="8"/>
      <c r="H19" s="8" t="str">
        <f t="shared" si="1"/>
        <v/>
      </c>
      <c r="I19" s="8" t="str">
        <f t="shared" si="2"/>
        <v/>
      </c>
      <c r="J19" s="6"/>
      <c r="K19" s="6"/>
    </row>
    <row r="20" spans="1:11" x14ac:dyDescent="0.25">
      <c r="A20" s="13" t="s">
        <v>551</v>
      </c>
      <c r="B20" s="13"/>
      <c r="C20" s="13"/>
      <c r="D20" s="6"/>
      <c r="E20" s="13"/>
      <c r="F20" s="8"/>
      <c r="G20" s="8"/>
      <c r="H20" s="8" t="str">
        <f t="shared" si="1"/>
        <v/>
      </c>
      <c r="I20" s="8" t="str">
        <f t="shared" si="2"/>
        <v/>
      </c>
      <c r="J20" s="6"/>
      <c r="K20" s="6"/>
    </row>
    <row r="21" spans="1:11" x14ac:dyDescent="0.25">
      <c r="A21" s="13" t="s">
        <v>552</v>
      </c>
      <c r="B21" s="13"/>
      <c r="C21" s="13"/>
      <c r="D21" s="6"/>
      <c r="E21" s="13"/>
      <c r="F21" s="8"/>
      <c r="G21" s="8"/>
      <c r="H21" s="8" t="str">
        <f t="shared" si="1"/>
        <v/>
      </c>
      <c r="I21" s="8" t="str">
        <f t="shared" si="2"/>
        <v/>
      </c>
      <c r="J21" s="6"/>
      <c r="K21" s="6"/>
    </row>
    <row r="22" spans="1:11" x14ac:dyDescent="0.25">
      <c r="A22" s="13" t="s">
        <v>553</v>
      </c>
      <c r="B22" s="13"/>
      <c r="C22" s="13"/>
      <c r="D22" s="6"/>
      <c r="E22" s="13"/>
      <c r="F22" s="8"/>
      <c r="G22" s="8"/>
      <c r="H22" s="8" t="str">
        <f t="shared" si="1"/>
        <v/>
      </c>
      <c r="I22" s="8" t="str">
        <f t="shared" si="2"/>
        <v/>
      </c>
      <c r="J22" s="6"/>
      <c r="K22" s="6"/>
    </row>
    <row r="23" spans="1:11" x14ac:dyDescent="0.25">
      <c r="A23" s="13" t="s">
        <v>554</v>
      </c>
      <c r="B23" s="13"/>
      <c r="C23" s="13"/>
      <c r="D23" s="6"/>
      <c r="E23" s="13"/>
      <c r="F23" s="8"/>
      <c r="G23" s="8"/>
      <c r="H23" s="8" t="str">
        <f t="shared" si="1"/>
        <v/>
      </c>
      <c r="I23" s="8" t="str">
        <f t="shared" si="2"/>
        <v/>
      </c>
      <c r="J23" s="6"/>
      <c r="K23" s="6"/>
    </row>
    <row r="24" spans="1:11" x14ac:dyDescent="0.25">
      <c r="A24" s="13" t="s">
        <v>555</v>
      </c>
      <c r="B24" s="13"/>
      <c r="C24" s="13"/>
      <c r="D24" s="6"/>
      <c r="E24" s="13"/>
      <c r="F24" s="8"/>
      <c r="G24" s="8"/>
      <c r="H24" s="8" t="str">
        <f t="shared" si="1"/>
        <v/>
      </c>
      <c r="I24" s="8" t="str">
        <f t="shared" si="2"/>
        <v/>
      </c>
      <c r="J24" s="6"/>
      <c r="K24" s="6"/>
    </row>
    <row r="25" spans="1:11" x14ac:dyDescent="0.25">
      <c r="A25" s="13" t="s">
        <v>556</v>
      </c>
      <c r="B25" s="13"/>
      <c r="C25" s="13"/>
      <c r="D25" s="6"/>
      <c r="E25" s="13"/>
      <c r="F25" s="8"/>
      <c r="G25" s="8"/>
      <c r="H25" s="8" t="str">
        <f t="shared" si="1"/>
        <v/>
      </c>
      <c r="I25" s="8" t="str">
        <f t="shared" si="2"/>
        <v/>
      </c>
      <c r="J25" s="6"/>
      <c r="K25" s="6"/>
    </row>
    <row r="26" spans="1:11" x14ac:dyDescent="0.25">
      <c r="A26" s="13" t="s">
        <v>557</v>
      </c>
      <c r="B26" s="13"/>
      <c r="C26" s="13"/>
      <c r="D26" s="6"/>
      <c r="E26" s="13"/>
      <c r="F26" s="8"/>
      <c r="G26" s="8"/>
      <c r="H26" s="8" t="str">
        <f t="shared" si="1"/>
        <v/>
      </c>
      <c r="I26" s="8" t="str">
        <f t="shared" si="2"/>
        <v/>
      </c>
      <c r="J26" s="6"/>
      <c r="K26" s="6"/>
    </row>
    <row r="27" spans="1:11" x14ac:dyDescent="0.25">
      <c r="A27" s="13" t="s">
        <v>558</v>
      </c>
      <c r="B27" s="13"/>
      <c r="C27" s="13"/>
      <c r="D27" s="6"/>
      <c r="E27" s="13"/>
      <c r="F27" s="8"/>
      <c r="G27" s="8"/>
      <c r="H27" s="8" t="str">
        <f t="shared" si="1"/>
        <v/>
      </c>
      <c r="I27" s="8" t="str">
        <f t="shared" si="2"/>
        <v/>
      </c>
      <c r="J27" s="6"/>
      <c r="K27" s="6"/>
    </row>
    <row r="28" spans="1:11" x14ac:dyDescent="0.25">
      <c r="A28" s="13" t="s">
        <v>559</v>
      </c>
      <c r="B28" s="13"/>
      <c r="C28" s="13"/>
      <c r="D28" s="6"/>
      <c r="E28" s="13"/>
      <c r="F28" s="8"/>
      <c r="G28" s="8"/>
      <c r="H28" s="8" t="str">
        <f t="shared" si="1"/>
        <v/>
      </c>
      <c r="I28" s="8" t="str">
        <f t="shared" si="2"/>
        <v/>
      </c>
      <c r="J28" s="6"/>
      <c r="K28" s="6"/>
    </row>
    <row r="29" spans="1:11" x14ac:dyDescent="0.25">
      <c r="A29" s="13" t="s">
        <v>560</v>
      </c>
      <c r="B29" s="13"/>
      <c r="C29" s="13"/>
      <c r="D29" s="6"/>
      <c r="E29" s="13"/>
      <c r="F29" s="8"/>
      <c r="G29" s="8"/>
      <c r="H29" s="8" t="str">
        <f t="shared" si="1"/>
        <v/>
      </c>
      <c r="I29" s="8" t="str">
        <f t="shared" si="2"/>
        <v/>
      </c>
      <c r="J29" s="6"/>
      <c r="K29" s="6"/>
    </row>
    <row r="30" spans="1:11" x14ac:dyDescent="0.25">
      <c r="A30" s="13" t="s">
        <v>561</v>
      </c>
      <c r="B30" s="13"/>
      <c r="C30" s="13"/>
      <c r="D30" s="6"/>
      <c r="E30" s="13"/>
      <c r="F30" s="8"/>
      <c r="G30" s="8"/>
      <c r="H30" s="8" t="str">
        <f t="shared" si="1"/>
        <v/>
      </c>
      <c r="I30" s="8" t="str">
        <f t="shared" si="2"/>
        <v/>
      </c>
      <c r="J30" s="6"/>
      <c r="K30" s="6"/>
    </row>
    <row r="31" spans="1:11" x14ac:dyDescent="0.25">
      <c r="A31" s="13" t="s">
        <v>562</v>
      </c>
      <c r="B31" s="13"/>
      <c r="C31" s="13"/>
      <c r="D31" s="6"/>
      <c r="E31" s="13"/>
      <c r="F31" s="8"/>
      <c r="G31" s="8"/>
      <c r="H31" s="8" t="str">
        <f t="shared" si="1"/>
        <v/>
      </c>
      <c r="I31" s="8" t="str">
        <f t="shared" si="2"/>
        <v/>
      </c>
      <c r="J31" s="6"/>
      <c r="K31" s="6"/>
    </row>
    <row r="32" spans="1:11" x14ac:dyDescent="0.25">
      <c r="A32" s="13" t="s">
        <v>563</v>
      </c>
      <c r="B32" s="13"/>
      <c r="C32" s="13"/>
      <c r="D32" s="6"/>
      <c r="E32" s="13"/>
      <c r="F32" s="8"/>
      <c r="G32" s="8"/>
      <c r="H32" s="8" t="str">
        <f t="shared" si="1"/>
        <v/>
      </c>
      <c r="I32" s="8" t="str">
        <f t="shared" si="2"/>
        <v/>
      </c>
      <c r="J32" s="6"/>
      <c r="K32" s="6"/>
    </row>
    <row r="33" spans="1:11" x14ac:dyDescent="0.25">
      <c r="A33" s="13" t="s">
        <v>564</v>
      </c>
      <c r="B33" s="13"/>
      <c r="C33" s="13"/>
      <c r="D33" s="6"/>
      <c r="E33" s="13"/>
      <c r="F33" s="8"/>
      <c r="G33" s="8"/>
      <c r="H33" s="8" t="str">
        <f t="shared" si="1"/>
        <v/>
      </c>
      <c r="I33" s="8" t="str">
        <f t="shared" si="2"/>
        <v/>
      </c>
      <c r="J33" s="6"/>
      <c r="K33" s="6"/>
    </row>
    <row r="34" spans="1:11" x14ac:dyDescent="0.25">
      <c r="A34" s="13" t="s">
        <v>565</v>
      </c>
      <c r="B34" s="13"/>
      <c r="C34" s="13"/>
      <c r="D34" s="6"/>
      <c r="E34" s="13"/>
      <c r="F34" s="8"/>
      <c r="G34" s="8"/>
      <c r="H34" s="8" t="str">
        <f t="shared" si="1"/>
        <v/>
      </c>
      <c r="I34" s="8" t="str">
        <f t="shared" si="2"/>
        <v/>
      </c>
      <c r="J34" s="6"/>
      <c r="K34" s="6"/>
    </row>
    <row r="35" spans="1:11" x14ac:dyDescent="0.25">
      <c r="A35" s="13" t="s">
        <v>566</v>
      </c>
      <c r="B35" s="13"/>
      <c r="C35" s="13"/>
      <c r="D35" s="6"/>
      <c r="E35" s="13"/>
      <c r="F35" s="8"/>
      <c r="G35" s="8"/>
      <c r="H35" s="8" t="str">
        <f t="shared" si="1"/>
        <v/>
      </c>
      <c r="I35" s="8" t="str">
        <f t="shared" si="2"/>
        <v/>
      </c>
      <c r="J35" s="6"/>
      <c r="K35" s="6"/>
    </row>
    <row r="36" spans="1:11" x14ac:dyDescent="0.25">
      <c r="A36" s="13" t="s">
        <v>567</v>
      </c>
      <c r="B36" s="13"/>
      <c r="C36" s="13"/>
      <c r="D36" s="6"/>
      <c r="E36" s="13"/>
      <c r="F36" s="8"/>
      <c r="G36" s="8"/>
      <c r="H36" s="8" t="str">
        <f t="shared" si="1"/>
        <v/>
      </c>
      <c r="I36" s="8" t="str">
        <f t="shared" si="2"/>
        <v/>
      </c>
      <c r="J36" s="6"/>
      <c r="K36" s="6"/>
    </row>
    <row r="37" spans="1:11" x14ac:dyDescent="0.25">
      <c r="A37" s="13" t="s">
        <v>568</v>
      </c>
      <c r="B37" s="13"/>
      <c r="C37" s="13"/>
      <c r="D37" s="6"/>
      <c r="E37" s="13"/>
      <c r="F37" s="8"/>
      <c r="G37" s="8"/>
      <c r="H37" s="8" t="str">
        <f t="shared" si="1"/>
        <v/>
      </c>
      <c r="I37" s="8" t="str">
        <f t="shared" si="2"/>
        <v/>
      </c>
      <c r="J37" s="6"/>
      <c r="K37" s="6"/>
    </row>
    <row r="38" spans="1:11" x14ac:dyDescent="0.25">
      <c r="A38" s="13" t="s">
        <v>569</v>
      </c>
      <c r="B38" s="13"/>
      <c r="C38" s="13"/>
      <c r="D38" s="6"/>
      <c r="E38" s="13"/>
      <c r="F38" s="8"/>
      <c r="G38" s="8"/>
      <c r="H38" s="8" t="str">
        <f t="shared" si="1"/>
        <v/>
      </c>
      <c r="I38" s="8" t="str">
        <f t="shared" si="2"/>
        <v/>
      </c>
      <c r="J38" s="6"/>
      <c r="K38" s="6"/>
    </row>
    <row r="39" spans="1:11" x14ac:dyDescent="0.25">
      <c r="A39" s="13" t="s">
        <v>570</v>
      </c>
      <c r="B39" s="13"/>
      <c r="C39" s="13"/>
      <c r="D39" s="6"/>
      <c r="E39" s="13"/>
      <c r="F39" s="8"/>
      <c r="G39" s="8"/>
      <c r="H39" s="8" t="str">
        <f t="shared" si="1"/>
        <v/>
      </c>
      <c r="I39" s="8" t="str">
        <f t="shared" si="2"/>
        <v/>
      </c>
      <c r="J39" s="6"/>
      <c r="K39" s="6"/>
    </row>
    <row r="40" spans="1:11" x14ac:dyDescent="0.25">
      <c r="A40" s="13" t="s">
        <v>571</v>
      </c>
      <c r="B40" s="13"/>
      <c r="C40" s="13"/>
      <c r="D40" s="6"/>
      <c r="E40" s="13"/>
      <c r="F40" s="8"/>
      <c r="G40" s="8"/>
      <c r="H40" s="8" t="str">
        <f t="shared" si="1"/>
        <v/>
      </c>
      <c r="I40" s="8" t="str">
        <f t="shared" si="2"/>
        <v/>
      </c>
      <c r="J40" s="6"/>
      <c r="K40" s="6"/>
    </row>
    <row r="41" spans="1:11" x14ac:dyDescent="0.25">
      <c r="A41" s="13" t="s">
        <v>572</v>
      </c>
      <c r="B41" s="13"/>
      <c r="C41" s="13"/>
      <c r="D41" s="6"/>
      <c r="E41" s="13"/>
      <c r="F41" s="8"/>
      <c r="G41" s="8"/>
      <c r="H41" s="8" t="str">
        <f t="shared" si="1"/>
        <v/>
      </c>
      <c r="I41" s="8" t="str">
        <f t="shared" si="2"/>
        <v/>
      </c>
      <c r="J41" s="6"/>
      <c r="K41" s="6"/>
    </row>
    <row r="42" spans="1:11" x14ac:dyDescent="0.25">
      <c r="A42" s="13" t="s">
        <v>573</v>
      </c>
      <c r="B42" s="13"/>
      <c r="C42" s="13"/>
      <c r="D42" s="6"/>
      <c r="E42" s="13"/>
      <c r="F42" s="8"/>
      <c r="G42" s="8"/>
      <c r="H42" s="8" t="str">
        <f t="shared" si="1"/>
        <v/>
      </c>
      <c r="I42" s="8" t="str">
        <f t="shared" si="2"/>
        <v/>
      </c>
      <c r="J42" s="6"/>
      <c r="K42" s="6"/>
    </row>
    <row r="43" spans="1:11" x14ac:dyDescent="0.25">
      <c r="A43" s="13" t="s">
        <v>574</v>
      </c>
      <c r="B43" s="13"/>
      <c r="C43" s="13"/>
      <c r="D43" s="6"/>
      <c r="E43" s="13"/>
      <c r="F43" s="8"/>
      <c r="G43" s="8"/>
      <c r="H43" s="8" t="str">
        <f t="shared" si="1"/>
        <v/>
      </c>
      <c r="I43" s="8" t="str">
        <f t="shared" si="2"/>
        <v/>
      </c>
      <c r="J43" s="6"/>
      <c r="K43" s="6"/>
    </row>
    <row r="44" spans="1:11" x14ac:dyDescent="0.25">
      <c r="A44" s="13" t="s">
        <v>575</v>
      </c>
      <c r="B44" s="13"/>
      <c r="C44" s="13"/>
      <c r="D44" s="6"/>
      <c r="E44" s="13"/>
      <c r="F44" s="8"/>
      <c r="G44" s="8"/>
      <c r="H44" s="8" t="str">
        <f t="shared" si="1"/>
        <v/>
      </c>
      <c r="I44" s="8" t="str">
        <f t="shared" si="2"/>
        <v/>
      </c>
      <c r="J44" s="6"/>
      <c r="K44" s="6"/>
    </row>
    <row r="45" spans="1:11" x14ac:dyDescent="0.25">
      <c r="A45" s="13" t="s">
        <v>576</v>
      </c>
      <c r="B45" s="13"/>
      <c r="C45" s="13"/>
      <c r="D45" s="6"/>
      <c r="E45" s="13"/>
      <c r="F45" s="8"/>
      <c r="G45" s="8"/>
      <c r="H45" s="8" t="str">
        <f t="shared" si="1"/>
        <v/>
      </c>
      <c r="I45" s="8" t="str">
        <f t="shared" si="2"/>
        <v/>
      </c>
      <c r="J45" s="6"/>
      <c r="K45" s="6"/>
    </row>
    <row r="46" spans="1:11" x14ac:dyDescent="0.25">
      <c r="A46" s="13" t="s">
        <v>577</v>
      </c>
      <c r="B46" s="13"/>
      <c r="C46" s="13"/>
      <c r="D46" s="6"/>
      <c r="E46" s="13"/>
      <c r="F46" s="8"/>
      <c r="G46" s="8"/>
      <c r="H46" s="8" t="str">
        <f t="shared" si="1"/>
        <v/>
      </c>
      <c r="I46" s="8" t="str">
        <f t="shared" si="2"/>
        <v/>
      </c>
      <c r="J46" s="6"/>
      <c r="K46" s="6"/>
    </row>
    <row r="47" spans="1:11" x14ac:dyDescent="0.25">
      <c r="A47" s="13" t="s">
        <v>578</v>
      </c>
      <c r="B47" s="13"/>
      <c r="C47" s="13"/>
      <c r="D47" s="6"/>
      <c r="E47" s="13"/>
      <c r="F47" s="8"/>
      <c r="G47" s="8"/>
      <c r="H47" s="8" t="str">
        <f t="shared" si="1"/>
        <v/>
      </c>
      <c r="I47" s="8" t="str">
        <f t="shared" si="2"/>
        <v/>
      </c>
      <c r="J47" s="6"/>
      <c r="K47" s="6"/>
    </row>
    <row r="48" spans="1:11" x14ac:dyDescent="0.25">
      <c r="A48" s="13" t="s">
        <v>579</v>
      </c>
      <c r="B48" s="13"/>
      <c r="C48" s="13"/>
      <c r="D48" s="6"/>
      <c r="E48" s="13"/>
      <c r="F48" s="8"/>
      <c r="G48" s="8"/>
      <c r="H48" s="8" t="str">
        <f t="shared" si="1"/>
        <v/>
      </c>
      <c r="I48" s="8" t="str">
        <f t="shared" si="2"/>
        <v/>
      </c>
      <c r="J48" s="6"/>
      <c r="K48" s="6"/>
    </row>
    <row r="49" spans="1:11" x14ac:dyDescent="0.25">
      <c r="A49" s="13" t="s">
        <v>580</v>
      </c>
      <c r="B49" s="13"/>
      <c r="C49" s="13"/>
      <c r="D49" s="6"/>
      <c r="E49" s="13"/>
      <c r="F49" s="8"/>
      <c r="G49" s="8"/>
      <c r="H49" s="8" t="str">
        <f t="shared" si="1"/>
        <v/>
      </c>
      <c r="I49" s="8" t="str">
        <f t="shared" si="2"/>
        <v/>
      </c>
      <c r="J49" s="6"/>
      <c r="K49" s="6"/>
    </row>
    <row r="50" spans="1:11" x14ac:dyDescent="0.25">
      <c r="A50" s="13" t="s">
        <v>581</v>
      </c>
      <c r="B50" s="13"/>
      <c r="C50" s="13"/>
      <c r="D50" s="6"/>
      <c r="E50" s="13"/>
      <c r="F50" s="8"/>
      <c r="G50" s="8"/>
      <c r="H50" s="8" t="str">
        <f t="shared" si="1"/>
        <v/>
      </c>
      <c r="I50" s="8" t="str">
        <f t="shared" si="2"/>
        <v/>
      </c>
      <c r="J50" s="6"/>
      <c r="K50" s="6"/>
    </row>
    <row r="51" spans="1:11" x14ac:dyDescent="0.25">
      <c r="A51" s="13" t="s">
        <v>582</v>
      </c>
      <c r="B51" s="13"/>
      <c r="C51" s="13"/>
      <c r="D51" s="6"/>
      <c r="E51" s="13"/>
      <c r="F51" s="8"/>
      <c r="G51" s="8"/>
      <c r="H51" s="8" t="str">
        <f t="shared" si="1"/>
        <v/>
      </c>
      <c r="I51" s="8" t="str">
        <f t="shared" si="2"/>
        <v/>
      </c>
      <c r="J51" s="6"/>
      <c r="K51" s="6"/>
    </row>
    <row r="52" spans="1:11" x14ac:dyDescent="0.25">
      <c r="A52" s="13" t="s">
        <v>583</v>
      </c>
      <c r="B52" s="13"/>
      <c r="C52" s="13"/>
      <c r="D52" s="6"/>
      <c r="E52" s="13"/>
      <c r="F52" s="8"/>
      <c r="G52" s="8"/>
      <c r="H52" s="8" t="str">
        <f t="shared" si="1"/>
        <v/>
      </c>
      <c r="I52" s="8" t="str">
        <f t="shared" si="2"/>
        <v/>
      </c>
      <c r="J52" s="6"/>
      <c r="K52" s="6"/>
    </row>
    <row r="53" spans="1:11" x14ac:dyDescent="0.25">
      <c r="A53" s="13" t="s">
        <v>584</v>
      </c>
      <c r="B53" s="13"/>
      <c r="C53" s="13"/>
      <c r="D53" s="6"/>
      <c r="E53" s="13"/>
      <c r="F53" s="8"/>
      <c r="G53" s="8"/>
      <c r="H53" s="8" t="str">
        <f t="shared" si="1"/>
        <v/>
      </c>
      <c r="I53" s="8" t="str">
        <f t="shared" si="2"/>
        <v/>
      </c>
      <c r="J53" s="6"/>
      <c r="K53" s="6"/>
    </row>
    <row r="54" spans="1:11" x14ac:dyDescent="0.25">
      <c r="A54" s="13" t="s">
        <v>585</v>
      </c>
      <c r="B54" s="13"/>
      <c r="C54" s="13"/>
      <c r="D54" s="6"/>
      <c r="E54" s="13"/>
      <c r="F54" s="8"/>
      <c r="G54" s="8"/>
      <c r="H54" s="8" t="str">
        <f t="shared" si="1"/>
        <v/>
      </c>
      <c r="I54" s="8" t="str">
        <f t="shared" si="2"/>
        <v/>
      </c>
      <c r="J54" s="6"/>
      <c r="K54" s="6"/>
    </row>
    <row r="55" spans="1:11" x14ac:dyDescent="0.25">
      <c r="A55" s="13" t="s">
        <v>586</v>
      </c>
      <c r="B55" s="13"/>
      <c r="C55" s="13"/>
      <c r="D55" s="6"/>
      <c r="E55" s="13"/>
      <c r="F55" s="8"/>
      <c r="G55" s="8"/>
      <c r="H55" s="8" t="str">
        <f t="shared" si="1"/>
        <v/>
      </c>
      <c r="I55" s="8" t="str">
        <f t="shared" si="2"/>
        <v/>
      </c>
      <c r="J55" s="6"/>
      <c r="K55" s="6"/>
    </row>
    <row r="56" spans="1:11" x14ac:dyDescent="0.25">
      <c r="A56" s="13" t="s">
        <v>587</v>
      </c>
      <c r="B56" s="13"/>
      <c r="C56" s="13"/>
      <c r="D56" s="6"/>
      <c r="E56" s="13"/>
      <c r="F56" s="8"/>
      <c r="G56" s="8"/>
      <c r="H56" s="8" t="str">
        <f t="shared" si="1"/>
        <v/>
      </c>
      <c r="I56" s="8" t="str">
        <f t="shared" si="2"/>
        <v/>
      </c>
      <c r="J56" s="6"/>
      <c r="K56" s="6"/>
    </row>
    <row r="57" spans="1:11" x14ac:dyDescent="0.25">
      <c r="A57" s="13" t="s">
        <v>588</v>
      </c>
      <c r="B57" s="13"/>
      <c r="C57" s="13"/>
      <c r="D57" s="6"/>
      <c r="E57" s="13"/>
      <c r="F57" s="8"/>
      <c r="G57" s="8"/>
      <c r="H57" s="8" t="str">
        <f t="shared" si="1"/>
        <v/>
      </c>
      <c r="I57" s="8" t="str">
        <f t="shared" si="2"/>
        <v/>
      </c>
      <c r="J57" s="6"/>
      <c r="K57" s="6"/>
    </row>
    <row r="58" spans="1:11" x14ac:dyDescent="0.25">
      <c r="A58" s="13" t="s">
        <v>589</v>
      </c>
      <c r="B58" s="13"/>
      <c r="C58" s="13"/>
      <c r="D58" s="6"/>
      <c r="E58" s="13"/>
      <c r="F58" s="8"/>
      <c r="G58" s="8"/>
      <c r="H58" s="8" t="str">
        <f t="shared" si="1"/>
        <v/>
      </c>
      <c r="I58" s="8" t="str">
        <f t="shared" si="2"/>
        <v/>
      </c>
      <c r="J58" s="6"/>
      <c r="K58" s="6"/>
    </row>
    <row r="59" spans="1:11" x14ac:dyDescent="0.25">
      <c r="A59" s="13" t="s">
        <v>590</v>
      </c>
      <c r="B59" s="13"/>
      <c r="C59" s="13"/>
      <c r="D59" s="6"/>
      <c r="E59" s="13"/>
      <c r="F59" s="8"/>
      <c r="G59" s="8"/>
      <c r="H59" s="8" t="str">
        <f t="shared" si="1"/>
        <v/>
      </c>
      <c r="I59" s="8" t="str">
        <f t="shared" si="2"/>
        <v/>
      </c>
      <c r="J59" s="6"/>
      <c r="K59" s="6"/>
    </row>
    <row r="60" spans="1:11" x14ac:dyDescent="0.25">
      <c r="A60" s="13" t="s">
        <v>591</v>
      </c>
      <c r="B60" s="13"/>
      <c r="C60" s="13"/>
      <c r="D60" s="6"/>
      <c r="E60" s="13"/>
      <c r="F60" s="8"/>
      <c r="G60" s="8"/>
      <c r="H60" s="8" t="str">
        <f t="shared" si="1"/>
        <v/>
      </c>
      <c r="I60" s="8" t="str">
        <f t="shared" si="2"/>
        <v/>
      </c>
      <c r="J60" s="6"/>
      <c r="K60" s="6"/>
    </row>
    <row r="61" spans="1:11" x14ac:dyDescent="0.25">
      <c r="A61" s="13" t="s">
        <v>592</v>
      </c>
      <c r="B61" s="13"/>
      <c r="C61" s="13"/>
      <c r="D61" s="6"/>
      <c r="E61" s="13"/>
      <c r="F61" s="8"/>
      <c r="G61" s="8"/>
      <c r="H61" s="8" t="str">
        <f t="shared" si="1"/>
        <v/>
      </c>
      <c r="I61" s="8" t="str">
        <f t="shared" si="2"/>
        <v/>
      </c>
      <c r="J61" s="6"/>
      <c r="K61" s="6"/>
    </row>
    <row r="62" spans="1:11" x14ac:dyDescent="0.25">
      <c r="A62" s="13" t="s">
        <v>593</v>
      </c>
      <c r="B62" s="13"/>
      <c r="C62" s="13"/>
      <c r="D62" s="6"/>
      <c r="E62" s="13"/>
      <c r="F62" s="8"/>
      <c r="G62" s="8"/>
      <c r="H62" s="8" t="str">
        <f t="shared" si="1"/>
        <v/>
      </c>
      <c r="I62" s="8" t="str">
        <f t="shared" si="2"/>
        <v/>
      </c>
      <c r="J62" s="6"/>
      <c r="K62" s="6"/>
    </row>
    <row r="63" spans="1:11" x14ac:dyDescent="0.25">
      <c r="A63" s="13" t="s">
        <v>594</v>
      </c>
      <c r="B63" s="13"/>
      <c r="C63" s="13"/>
      <c r="D63" s="6"/>
      <c r="E63" s="13"/>
      <c r="F63" s="8"/>
      <c r="G63" s="8"/>
      <c r="H63" s="8" t="str">
        <f t="shared" si="1"/>
        <v/>
      </c>
      <c r="I63" s="8" t="str">
        <f t="shared" si="2"/>
        <v/>
      </c>
      <c r="J63" s="6"/>
      <c r="K63" s="6"/>
    </row>
    <row r="64" spans="1:11" x14ac:dyDescent="0.25">
      <c r="A64" s="13" t="s">
        <v>595</v>
      </c>
      <c r="B64" s="13"/>
      <c r="C64" s="13"/>
      <c r="D64" s="6"/>
      <c r="E64" s="13"/>
      <c r="F64" s="8"/>
      <c r="G64" s="8"/>
      <c r="H64" s="8" t="str">
        <f t="shared" si="1"/>
        <v/>
      </c>
      <c r="I64" s="8" t="str">
        <f t="shared" si="2"/>
        <v/>
      </c>
      <c r="J64" s="6"/>
      <c r="K64" s="6"/>
    </row>
    <row r="65" spans="1:11" x14ac:dyDescent="0.25">
      <c r="A65" s="13" t="s">
        <v>596</v>
      </c>
      <c r="B65" s="13"/>
      <c r="C65" s="13"/>
      <c r="D65" s="6"/>
      <c r="E65" s="13"/>
      <c r="F65" s="8"/>
      <c r="G65" s="8"/>
      <c r="H65" s="8" t="str">
        <f t="shared" si="1"/>
        <v/>
      </c>
      <c r="I65" s="8" t="str">
        <f t="shared" si="2"/>
        <v/>
      </c>
      <c r="J65" s="6"/>
      <c r="K65" s="6"/>
    </row>
    <row r="66" spans="1:11" x14ac:dyDescent="0.25">
      <c r="A66" s="13" t="s">
        <v>597</v>
      </c>
      <c r="B66" s="13"/>
      <c r="C66" s="13"/>
      <c r="D66" s="6"/>
      <c r="E66" s="13"/>
      <c r="F66" s="8"/>
      <c r="G66" s="8"/>
      <c r="H66" s="8" t="str">
        <f t="shared" si="1"/>
        <v/>
      </c>
      <c r="I66" s="8" t="str">
        <f t="shared" si="2"/>
        <v/>
      </c>
      <c r="J66" s="6"/>
      <c r="K66" s="6"/>
    </row>
    <row r="67" spans="1:11" x14ac:dyDescent="0.25">
      <c r="A67" s="13" t="s">
        <v>598</v>
      </c>
      <c r="B67" s="13"/>
      <c r="C67" s="13"/>
      <c r="D67" s="6"/>
      <c r="E67" s="13"/>
      <c r="F67" s="8"/>
      <c r="G67" s="8"/>
      <c r="H67" s="8" t="str">
        <f t="shared" si="1"/>
        <v/>
      </c>
      <c r="I67" s="8" t="str">
        <f t="shared" si="2"/>
        <v/>
      </c>
      <c r="J67" s="6"/>
      <c r="K67" s="6"/>
    </row>
    <row r="68" spans="1:11" x14ac:dyDescent="0.25">
      <c r="A68" s="13" t="s">
        <v>599</v>
      </c>
      <c r="B68" s="13"/>
      <c r="C68" s="13"/>
      <c r="D68" s="6"/>
      <c r="E68" s="13"/>
      <c r="F68" s="8"/>
      <c r="G68" s="8"/>
      <c r="H68" s="8" t="str">
        <f t="shared" si="1"/>
        <v/>
      </c>
      <c r="I68" s="8" t="str">
        <f t="shared" si="2"/>
        <v/>
      </c>
      <c r="J68" s="6"/>
      <c r="K68" s="6"/>
    </row>
    <row r="69" spans="1:11" x14ac:dyDescent="0.25">
      <c r="A69" s="13" t="s">
        <v>600</v>
      </c>
      <c r="B69" s="13"/>
      <c r="C69" s="13"/>
      <c r="D69" s="6"/>
      <c r="E69" s="13"/>
      <c r="F69" s="8"/>
      <c r="G69" s="8"/>
      <c r="H69" s="8" t="str">
        <f t="shared" ref="H69:H132" si="3">IF(AND(ISNUMBER(F69),ISNUMBER(G69),F69&gt;0,G69&gt;0), ROUND(F69*G69, 2), "")</f>
        <v/>
      </c>
      <c r="I69" s="8" t="str">
        <f t="shared" si="2"/>
        <v/>
      </c>
      <c r="J69" s="6"/>
      <c r="K69" s="6"/>
    </row>
    <row r="70" spans="1:11" x14ac:dyDescent="0.25">
      <c r="A70" s="13" t="s">
        <v>601</v>
      </c>
      <c r="B70" s="13"/>
      <c r="C70" s="13"/>
      <c r="D70" s="6"/>
      <c r="E70" s="13"/>
      <c r="F70" s="8"/>
      <c r="G70" s="8"/>
      <c r="H70" s="8" t="str">
        <f t="shared" si="3"/>
        <v/>
      </c>
      <c r="I70" s="8" t="str">
        <f t="shared" si="2"/>
        <v/>
      </c>
      <c r="J70" s="6"/>
      <c r="K70" s="6"/>
    </row>
    <row r="71" spans="1:11" x14ac:dyDescent="0.25">
      <c r="A71" s="13" t="s">
        <v>602</v>
      </c>
      <c r="B71" s="13"/>
      <c r="C71" s="13"/>
      <c r="D71" s="6"/>
      <c r="E71" s="13"/>
      <c r="F71" s="8"/>
      <c r="G71" s="8"/>
      <c r="H71" s="8" t="str">
        <f t="shared" si="3"/>
        <v/>
      </c>
      <c r="I71" s="8" t="str">
        <f t="shared" si="2"/>
        <v/>
      </c>
      <c r="J71" s="6"/>
      <c r="K71" s="6"/>
    </row>
    <row r="72" spans="1:11" x14ac:dyDescent="0.25">
      <c r="A72" s="13" t="s">
        <v>603</v>
      </c>
      <c r="B72" s="13"/>
      <c r="C72" s="13"/>
      <c r="D72" s="6"/>
      <c r="E72" s="13"/>
      <c r="F72" s="8"/>
      <c r="G72" s="8"/>
      <c r="H72" s="8" t="str">
        <f t="shared" si="3"/>
        <v/>
      </c>
      <c r="I72" s="8" t="str">
        <f t="shared" si="2"/>
        <v/>
      </c>
      <c r="J72" s="6"/>
      <c r="K72" s="6"/>
    </row>
    <row r="73" spans="1:11" x14ac:dyDescent="0.25">
      <c r="A73" s="13" t="s">
        <v>604</v>
      </c>
      <c r="B73" s="13"/>
      <c r="C73" s="13"/>
      <c r="D73" s="6"/>
      <c r="E73" s="13"/>
      <c r="F73" s="8"/>
      <c r="G73" s="8"/>
      <c r="H73" s="8" t="str">
        <f t="shared" si="3"/>
        <v/>
      </c>
      <c r="I73" s="8" t="str">
        <f t="shared" si="2"/>
        <v/>
      </c>
      <c r="J73" s="6"/>
      <c r="K73" s="6"/>
    </row>
    <row r="74" spans="1:11" x14ac:dyDescent="0.25">
      <c r="A74" s="13" t="s">
        <v>605</v>
      </c>
      <c r="B74" s="13"/>
      <c r="C74" s="13"/>
      <c r="D74" s="6"/>
      <c r="E74" s="13"/>
      <c r="F74" s="8"/>
      <c r="G74" s="8"/>
      <c r="H74" s="8" t="str">
        <f t="shared" si="3"/>
        <v/>
      </c>
      <c r="I74" s="8" t="str">
        <f t="shared" si="2"/>
        <v/>
      </c>
      <c r="J74" s="6"/>
      <c r="K74" s="6"/>
    </row>
    <row r="75" spans="1:11" x14ac:dyDescent="0.25">
      <c r="A75" s="13" t="s">
        <v>606</v>
      </c>
      <c r="B75" s="13"/>
      <c r="C75" s="13"/>
      <c r="D75" s="6"/>
      <c r="E75" s="13"/>
      <c r="F75" s="8"/>
      <c r="G75" s="8"/>
      <c r="H75" s="8" t="str">
        <f t="shared" si="3"/>
        <v/>
      </c>
      <c r="I75" s="8" t="str">
        <f t="shared" si="2"/>
        <v/>
      </c>
      <c r="J75" s="6"/>
      <c r="K75" s="6"/>
    </row>
    <row r="76" spans="1:11" x14ac:dyDescent="0.25">
      <c r="A76" s="13" t="s">
        <v>607</v>
      </c>
      <c r="B76" s="13"/>
      <c r="C76" s="13"/>
      <c r="D76" s="6"/>
      <c r="E76" s="13"/>
      <c r="F76" s="8"/>
      <c r="G76" s="8"/>
      <c r="H76" s="8" t="str">
        <f t="shared" si="3"/>
        <v/>
      </c>
      <c r="I76" s="8" t="str">
        <f t="shared" ref="I76:I139" si="4">IF(OR(H76="",H76=0), "", IF(ISNUMBER(I75), I75+H76, H76))</f>
        <v/>
      </c>
      <c r="J76" s="6"/>
      <c r="K76" s="6"/>
    </row>
    <row r="77" spans="1:11" x14ac:dyDescent="0.25">
      <c r="A77" s="13" t="s">
        <v>608</v>
      </c>
      <c r="B77" s="13"/>
      <c r="C77" s="13"/>
      <c r="D77" s="6"/>
      <c r="E77" s="13"/>
      <c r="F77" s="8"/>
      <c r="G77" s="8"/>
      <c r="H77" s="8" t="str">
        <f t="shared" si="3"/>
        <v/>
      </c>
      <c r="I77" s="8" t="str">
        <f t="shared" si="4"/>
        <v/>
      </c>
      <c r="J77" s="6"/>
      <c r="K77" s="6"/>
    </row>
    <row r="78" spans="1:11" x14ac:dyDescent="0.25">
      <c r="A78" s="13" t="s">
        <v>609</v>
      </c>
      <c r="B78" s="13"/>
      <c r="C78" s="13"/>
      <c r="D78" s="6"/>
      <c r="E78" s="13"/>
      <c r="F78" s="8"/>
      <c r="G78" s="8"/>
      <c r="H78" s="8" t="str">
        <f t="shared" si="3"/>
        <v/>
      </c>
      <c r="I78" s="8" t="str">
        <f t="shared" si="4"/>
        <v/>
      </c>
      <c r="J78" s="6"/>
      <c r="K78" s="6"/>
    </row>
    <row r="79" spans="1:11" x14ac:dyDescent="0.25">
      <c r="A79" s="13" t="s">
        <v>610</v>
      </c>
      <c r="B79" s="13"/>
      <c r="C79" s="13"/>
      <c r="D79" s="6"/>
      <c r="E79" s="13"/>
      <c r="F79" s="8"/>
      <c r="G79" s="8"/>
      <c r="H79" s="8" t="str">
        <f t="shared" si="3"/>
        <v/>
      </c>
      <c r="I79" s="8" t="str">
        <f t="shared" si="4"/>
        <v/>
      </c>
      <c r="J79" s="6"/>
      <c r="K79" s="6"/>
    </row>
    <row r="80" spans="1:11" x14ac:dyDescent="0.25">
      <c r="A80" s="13" t="s">
        <v>611</v>
      </c>
      <c r="B80" s="13"/>
      <c r="C80" s="13"/>
      <c r="D80" s="6"/>
      <c r="E80" s="13"/>
      <c r="F80" s="8"/>
      <c r="G80" s="8"/>
      <c r="H80" s="8" t="str">
        <f t="shared" si="3"/>
        <v/>
      </c>
      <c r="I80" s="8" t="str">
        <f t="shared" si="4"/>
        <v/>
      </c>
      <c r="J80" s="6"/>
      <c r="K80" s="6"/>
    </row>
    <row r="81" spans="1:11" x14ac:dyDescent="0.25">
      <c r="A81" s="13" t="s">
        <v>612</v>
      </c>
      <c r="B81" s="13"/>
      <c r="C81" s="13"/>
      <c r="D81" s="6"/>
      <c r="E81" s="13"/>
      <c r="F81" s="8"/>
      <c r="G81" s="8"/>
      <c r="H81" s="8" t="str">
        <f t="shared" si="3"/>
        <v/>
      </c>
      <c r="I81" s="8" t="str">
        <f t="shared" si="4"/>
        <v/>
      </c>
      <c r="J81" s="6"/>
      <c r="K81" s="6"/>
    </row>
    <row r="82" spans="1:11" x14ac:dyDescent="0.25">
      <c r="A82" s="13" t="s">
        <v>613</v>
      </c>
      <c r="B82" s="13"/>
      <c r="C82" s="13"/>
      <c r="D82" s="6"/>
      <c r="E82" s="13"/>
      <c r="F82" s="8"/>
      <c r="G82" s="8"/>
      <c r="H82" s="8" t="str">
        <f t="shared" si="3"/>
        <v/>
      </c>
      <c r="I82" s="8" t="str">
        <f t="shared" si="4"/>
        <v/>
      </c>
      <c r="J82" s="6"/>
      <c r="K82" s="6"/>
    </row>
    <row r="83" spans="1:11" x14ac:dyDescent="0.25">
      <c r="A83" s="13" t="s">
        <v>614</v>
      </c>
      <c r="B83" s="13"/>
      <c r="C83" s="13"/>
      <c r="D83" s="6"/>
      <c r="E83" s="13"/>
      <c r="F83" s="8"/>
      <c r="G83" s="8"/>
      <c r="H83" s="8" t="str">
        <f t="shared" si="3"/>
        <v/>
      </c>
      <c r="I83" s="8" t="str">
        <f t="shared" si="4"/>
        <v/>
      </c>
      <c r="J83" s="6"/>
      <c r="K83" s="6"/>
    </row>
    <row r="84" spans="1:11" x14ac:dyDescent="0.25">
      <c r="A84" s="13" t="s">
        <v>615</v>
      </c>
      <c r="B84" s="13"/>
      <c r="C84" s="13"/>
      <c r="D84" s="6"/>
      <c r="E84" s="13"/>
      <c r="F84" s="8"/>
      <c r="G84" s="8"/>
      <c r="H84" s="8" t="str">
        <f t="shared" si="3"/>
        <v/>
      </c>
      <c r="I84" s="8" t="str">
        <f t="shared" si="4"/>
        <v/>
      </c>
      <c r="J84" s="6"/>
      <c r="K84" s="6"/>
    </row>
    <row r="85" spans="1:11" x14ac:dyDescent="0.25">
      <c r="A85" s="13" t="s">
        <v>616</v>
      </c>
      <c r="B85" s="13"/>
      <c r="C85" s="13"/>
      <c r="D85" s="6"/>
      <c r="E85" s="13"/>
      <c r="F85" s="8"/>
      <c r="G85" s="8"/>
      <c r="H85" s="8" t="str">
        <f t="shared" si="3"/>
        <v/>
      </c>
      <c r="I85" s="8" t="str">
        <f t="shared" si="4"/>
        <v/>
      </c>
      <c r="J85" s="6"/>
      <c r="K85" s="6"/>
    </row>
    <row r="86" spans="1:11" x14ac:dyDescent="0.25">
      <c r="A86" s="13" t="s">
        <v>617</v>
      </c>
      <c r="B86" s="13"/>
      <c r="C86" s="13"/>
      <c r="D86" s="6"/>
      <c r="E86" s="13"/>
      <c r="F86" s="8"/>
      <c r="G86" s="8"/>
      <c r="H86" s="8" t="str">
        <f t="shared" si="3"/>
        <v/>
      </c>
      <c r="I86" s="8" t="str">
        <f t="shared" si="4"/>
        <v/>
      </c>
      <c r="J86" s="6"/>
      <c r="K86" s="6"/>
    </row>
    <row r="87" spans="1:11" x14ac:dyDescent="0.25">
      <c r="A87" s="13" t="s">
        <v>618</v>
      </c>
      <c r="B87" s="13"/>
      <c r="C87" s="13"/>
      <c r="D87" s="6"/>
      <c r="E87" s="13"/>
      <c r="F87" s="8"/>
      <c r="G87" s="8"/>
      <c r="H87" s="8" t="str">
        <f t="shared" si="3"/>
        <v/>
      </c>
      <c r="I87" s="8" t="str">
        <f t="shared" si="4"/>
        <v/>
      </c>
      <c r="J87" s="6"/>
      <c r="K87" s="6"/>
    </row>
    <row r="88" spans="1:11" x14ac:dyDescent="0.25">
      <c r="A88" s="13" t="s">
        <v>619</v>
      </c>
      <c r="B88" s="13"/>
      <c r="C88" s="13"/>
      <c r="D88" s="6"/>
      <c r="E88" s="13"/>
      <c r="F88" s="8"/>
      <c r="G88" s="8"/>
      <c r="H88" s="8" t="str">
        <f t="shared" si="3"/>
        <v/>
      </c>
      <c r="I88" s="8" t="str">
        <f t="shared" si="4"/>
        <v/>
      </c>
      <c r="J88" s="6"/>
      <c r="K88" s="6"/>
    </row>
    <row r="89" spans="1:11" x14ac:dyDescent="0.25">
      <c r="A89" s="13" t="s">
        <v>620</v>
      </c>
      <c r="B89" s="13"/>
      <c r="C89" s="13"/>
      <c r="D89" s="6"/>
      <c r="E89" s="13"/>
      <c r="F89" s="8"/>
      <c r="G89" s="8"/>
      <c r="H89" s="8" t="str">
        <f t="shared" si="3"/>
        <v/>
      </c>
      <c r="I89" s="8" t="str">
        <f t="shared" si="4"/>
        <v/>
      </c>
      <c r="J89" s="6"/>
      <c r="K89" s="6"/>
    </row>
    <row r="90" spans="1:11" x14ac:dyDescent="0.25">
      <c r="A90" s="13" t="s">
        <v>621</v>
      </c>
      <c r="B90" s="13"/>
      <c r="C90" s="13"/>
      <c r="D90" s="6"/>
      <c r="E90" s="13"/>
      <c r="F90" s="8"/>
      <c r="G90" s="8"/>
      <c r="H90" s="8" t="str">
        <f t="shared" si="3"/>
        <v/>
      </c>
      <c r="I90" s="8" t="str">
        <f t="shared" si="4"/>
        <v/>
      </c>
      <c r="J90" s="6"/>
      <c r="K90" s="6"/>
    </row>
    <row r="91" spans="1:11" x14ac:dyDescent="0.25">
      <c r="A91" s="13" t="s">
        <v>622</v>
      </c>
      <c r="B91" s="13"/>
      <c r="C91" s="13"/>
      <c r="D91" s="6"/>
      <c r="E91" s="13"/>
      <c r="F91" s="8"/>
      <c r="G91" s="8"/>
      <c r="H91" s="8" t="str">
        <f t="shared" si="3"/>
        <v/>
      </c>
      <c r="I91" s="8" t="str">
        <f t="shared" si="4"/>
        <v/>
      </c>
      <c r="J91" s="6"/>
      <c r="K91" s="6"/>
    </row>
    <row r="92" spans="1:11" x14ac:dyDescent="0.25">
      <c r="A92" s="13" t="s">
        <v>623</v>
      </c>
      <c r="B92" s="13"/>
      <c r="C92" s="13"/>
      <c r="D92" s="6"/>
      <c r="E92" s="13"/>
      <c r="F92" s="8"/>
      <c r="G92" s="8"/>
      <c r="H92" s="8" t="str">
        <f t="shared" si="3"/>
        <v/>
      </c>
      <c r="I92" s="8" t="str">
        <f t="shared" si="4"/>
        <v/>
      </c>
      <c r="J92" s="6"/>
      <c r="K92" s="6"/>
    </row>
    <row r="93" spans="1:11" x14ac:dyDescent="0.25">
      <c r="A93" s="13" t="s">
        <v>624</v>
      </c>
      <c r="B93" s="13"/>
      <c r="C93" s="13"/>
      <c r="D93" s="6"/>
      <c r="E93" s="13"/>
      <c r="F93" s="8"/>
      <c r="G93" s="8"/>
      <c r="H93" s="8" t="str">
        <f t="shared" si="3"/>
        <v/>
      </c>
      <c r="I93" s="8" t="str">
        <f t="shared" si="4"/>
        <v/>
      </c>
      <c r="J93" s="6"/>
      <c r="K93" s="6"/>
    </row>
    <row r="94" spans="1:11" x14ac:dyDescent="0.25">
      <c r="A94" s="13" t="s">
        <v>625</v>
      </c>
      <c r="B94" s="13"/>
      <c r="C94" s="13"/>
      <c r="D94" s="6"/>
      <c r="E94" s="13"/>
      <c r="F94" s="8"/>
      <c r="G94" s="8"/>
      <c r="H94" s="8" t="str">
        <f t="shared" si="3"/>
        <v/>
      </c>
      <c r="I94" s="8" t="str">
        <f t="shared" si="4"/>
        <v/>
      </c>
      <c r="J94" s="6"/>
      <c r="K94" s="6"/>
    </row>
    <row r="95" spans="1:11" x14ac:dyDescent="0.25">
      <c r="A95" s="13" t="s">
        <v>626</v>
      </c>
      <c r="B95" s="13"/>
      <c r="C95" s="13"/>
      <c r="D95" s="6"/>
      <c r="E95" s="13"/>
      <c r="F95" s="8"/>
      <c r="G95" s="8"/>
      <c r="H95" s="8" t="str">
        <f t="shared" si="3"/>
        <v/>
      </c>
      <c r="I95" s="8" t="str">
        <f t="shared" si="4"/>
        <v/>
      </c>
      <c r="J95" s="6"/>
      <c r="K95" s="6"/>
    </row>
    <row r="96" spans="1:11" x14ac:dyDescent="0.25">
      <c r="A96" s="13" t="s">
        <v>627</v>
      </c>
      <c r="B96" s="13"/>
      <c r="C96" s="13"/>
      <c r="D96" s="6"/>
      <c r="E96" s="13"/>
      <c r="F96" s="8"/>
      <c r="G96" s="8"/>
      <c r="H96" s="8" t="str">
        <f t="shared" si="3"/>
        <v/>
      </c>
      <c r="I96" s="8" t="str">
        <f t="shared" si="4"/>
        <v/>
      </c>
      <c r="J96" s="6"/>
      <c r="K96" s="6"/>
    </row>
    <row r="97" spans="1:11" x14ac:dyDescent="0.25">
      <c r="A97" s="13" t="s">
        <v>628</v>
      </c>
      <c r="B97" s="13"/>
      <c r="C97" s="13"/>
      <c r="D97" s="6"/>
      <c r="E97" s="13"/>
      <c r="F97" s="8"/>
      <c r="G97" s="8"/>
      <c r="H97" s="8" t="str">
        <f t="shared" si="3"/>
        <v/>
      </c>
      <c r="I97" s="8" t="str">
        <f t="shared" si="4"/>
        <v/>
      </c>
      <c r="J97" s="6"/>
      <c r="K97" s="6"/>
    </row>
    <row r="98" spans="1:11" x14ac:dyDescent="0.25">
      <c r="A98" s="13" t="s">
        <v>629</v>
      </c>
      <c r="B98" s="13"/>
      <c r="C98" s="13"/>
      <c r="D98" s="6"/>
      <c r="E98" s="13"/>
      <c r="F98" s="8"/>
      <c r="G98" s="8"/>
      <c r="H98" s="8" t="str">
        <f t="shared" si="3"/>
        <v/>
      </c>
      <c r="I98" s="8" t="str">
        <f t="shared" si="4"/>
        <v/>
      </c>
      <c r="J98" s="6"/>
      <c r="K98" s="6"/>
    </row>
    <row r="99" spans="1:11" x14ac:dyDescent="0.25">
      <c r="A99" s="13" t="s">
        <v>630</v>
      </c>
      <c r="B99" s="13"/>
      <c r="C99" s="13"/>
      <c r="D99" s="6"/>
      <c r="E99" s="13"/>
      <c r="F99" s="8"/>
      <c r="G99" s="8"/>
      <c r="H99" s="8" t="str">
        <f t="shared" si="3"/>
        <v/>
      </c>
      <c r="I99" s="8" t="str">
        <f t="shared" si="4"/>
        <v/>
      </c>
      <c r="J99" s="6"/>
      <c r="K99" s="6"/>
    </row>
    <row r="100" spans="1:11" x14ac:dyDescent="0.25">
      <c r="A100" s="13" t="s">
        <v>631</v>
      </c>
      <c r="B100" s="13"/>
      <c r="C100" s="13"/>
      <c r="D100" s="6"/>
      <c r="E100" s="13"/>
      <c r="F100" s="8"/>
      <c r="G100" s="8"/>
      <c r="H100" s="8" t="str">
        <f t="shared" si="3"/>
        <v/>
      </c>
      <c r="I100" s="8" t="str">
        <f t="shared" si="4"/>
        <v/>
      </c>
      <c r="J100" s="6"/>
      <c r="K100" s="6"/>
    </row>
    <row r="101" spans="1:11" x14ac:dyDescent="0.25">
      <c r="A101" s="13" t="s">
        <v>632</v>
      </c>
      <c r="B101" s="13"/>
      <c r="C101" s="13"/>
      <c r="D101" s="6"/>
      <c r="E101" s="13"/>
      <c r="F101" s="8"/>
      <c r="G101" s="8"/>
      <c r="H101" s="8" t="str">
        <f t="shared" si="3"/>
        <v/>
      </c>
      <c r="I101" s="8" t="str">
        <f t="shared" si="4"/>
        <v/>
      </c>
      <c r="J101" s="6"/>
      <c r="K101" s="6"/>
    </row>
    <row r="102" spans="1:11" x14ac:dyDescent="0.25">
      <c r="A102" s="13" t="s">
        <v>633</v>
      </c>
      <c r="B102" s="13"/>
      <c r="C102" s="13"/>
      <c r="D102" s="6"/>
      <c r="E102" s="13"/>
      <c r="F102" s="8"/>
      <c r="G102" s="8"/>
      <c r="H102" s="8" t="str">
        <f t="shared" si="3"/>
        <v/>
      </c>
      <c r="I102" s="8" t="str">
        <f t="shared" si="4"/>
        <v/>
      </c>
      <c r="J102" s="6"/>
      <c r="K102" s="6"/>
    </row>
    <row r="103" spans="1:11" x14ac:dyDescent="0.25">
      <c r="A103" s="13" t="s">
        <v>634</v>
      </c>
      <c r="B103" s="13"/>
      <c r="C103" s="13"/>
      <c r="D103" s="6"/>
      <c r="E103" s="13"/>
      <c r="F103" s="8"/>
      <c r="G103" s="8"/>
      <c r="H103" s="8" t="str">
        <f t="shared" si="3"/>
        <v/>
      </c>
      <c r="I103" s="8" t="str">
        <f t="shared" si="4"/>
        <v/>
      </c>
      <c r="J103" s="6"/>
      <c r="K103" s="6"/>
    </row>
    <row r="104" spans="1:11" x14ac:dyDescent="0.25">
      <c r="A104" s="13" t="s">
        <v>635</v>
      </c>
      <c r="B104" s="13"/>
      <c r="C104" s="13"/>
      <c r="D104" s="6"/>
      <c r="E104" s="13"/>
      <c r="F104" s="8"/>
      <c r="G104" s="8"/>
      <c r="H104" s="8" t="str">
        <f t="shared" si="3"/>
        <v/>
      </c>
      <c r="I104" s="8" t="str">
        <f t="shared" si="4"/>
        <v/>
      </c>
      <c r="J104" s="6"/>
      <c r="K104" s="6"/>
    </row>
    <row r="105" spans="1:11" x14ac:dyDescent="0.25">
      <c r="A105" s="13" t="s">
        <v>636</v>
      </c>
      <c r="B105" s="13"/>
      <c r="C105" s="13"/>
      <c r="D105" s="6"/>
      <c r="E105" s="13"/>
      <c r="F105" s="8"/>
      <c r="G105" s="8"/>
      <c r="H105" s="8" t="str">
        <f t="shared" si="3"/>
        <v/>
      </c>
      <c r="I105" s="8" t="str">
        <f t="shared" si="4"/>
        <v/>
      </c>
      <c r="J105" s="6"/>
      <c r="K105" s="6"/>
    </row>
    <row r="106" spans="1:11" x14ac:dyDescent="0.25">
      <c r="A106" s="13" t="s">
        <v>637</v>
      </c>
      <c r="B106" s="13"/>
      <c r="C106" s="13"/>
      <c r="D106" s="6"/>
      <c r="E106" s="13"/>
      <c r="F106" s="8"/>
      <c r="G106" s="8"/>
      <c r="H106" s="8" t="str">
        <f t="shared" si="3"/>
        <v/>
      </c>
      <c r="I106" s="8" t="str">
        <f t="shared" si="4"/>
        <v/>
      </c>
      <c r="J106" s="6"/>
      <c r="K106" s="6"/>
    </row>
    <row r="107" spans="1:11" x14ac:dyDescent="0.25">
      <c r="A107" s="13" t="s">
        <v>638</v>
      </c>
      <c r="B107" s="13"/>
      <c r="C107" s="13"/>
      <c r="D107" s="6"/>
      <c r="E107" s="13"/>
      <c r="F107" s="8"/>
      <c r="G107" s="8"/>
      <c r="H107" s="8" t="str">
        <f t="shared" si="3"/>
        <v/>
      </c>
      <c r="I107" s="8" t="str">
        <f t="shared" si="4"/>
        <v/>
      </c>
      <c r="J107" s="6"/>
      <c r="K107" s="6"/>
    </row>
    <row r="108" spans="1:11" x14ac:dyDescent="0.25">
      <c r="A108" s="13" t="s">
        <v>639</v>
      </c>
      <c r="B108" s="13"/>
      <c r="C108" s="13"/>
      <c r="D108" s="6"/>
      <c r="E108" s="13"/>
      <c r="F108" s="8"/>
      <c r="G108" s="8"/>
      <c r="H108" s="8" t="str">
        <f t="shared" si="3"/>
        <v/>
      </c>
      <c r="I108" s="8" t="str">
        <f t="shared" si="4"/>
        <v/>
      </c>
      <c r="J108" s="6"/>
      <c r="K108" s="6"/>
    </row>
    <row r="109" spans="1:11" x14ac:dyDescent="0.25">
      <c r="A109" s="13" t="s">
        <v>640</v>
      </c>
      <c r="B109" s="13"/>
      <c r="C109" s="13"/>
      <c r="D109" s="6"/>
      <c r="E109" s="13"/>
      <c r="F109" s="8"/>
      <c r="G109" s="8"/>
      <c r="H109" s="8" t="str">
        <f t="shared" si="3"/>
        <v/>
      </c>
      <c r="I109" s="8" t="str">
        <f t="shared" si="4"/>
        <v/>
      </c>
      <c r="J109" s="6"/>
      <c r="K109" s="6"/>
    </row>
    <row r="110" spans="1:11" x14ac:dyDescent="0.25">
      <c r="A110" s="13" t="s">
        <v>641</v>
      </c>
      <c r="B110" s="13"/>
      <c r="C110" s="13"/>
      <c r="D110" s="6"/>
      <c r="E110" s="13"/>
      <c r="F110" s="8"/>
      <c r="G110" s="8"/>
      <c r="H110" s="8" t="str">
        <f t="shared" si="3"/>
        <v/>
      </c>
      <c r="I110" s="8" t="str">
        <f t="shared" si="4"/>
        <v/>
      </c>
      <c r="J110" s="6"/>
      <c r="K110" s="6"/>
    </row>
    <row r="111" spans="1:11" x14ac:dyDescent="0.25">
      <c r="A111" s="13" t="s">
        <v>642</v>
      </c>
      <c r="B111" s="13"/>
      <c r="C111" s="13"/>
      <c r="D111" s="6"/>
      <c r="E111" s="13"/>
      <c r="F111" s="8"/>
      <c r="G111" s="8"/>
      <c r="H111" s="8" t="str">
        <f t="shared" si="3"/>
        <v/>
      </c>
      <c r="I111" s="8" t="str">
        <f t="shared" si="4"/>
        <v/>
      </c>
      <c r="J111" s="6"/>
      <c r="K111" s="6"/>
    </row>
    <row r="112" spans="1:11" x14ac:dyDescent="0.25">
      <c r="A112" s="13" t="s">
        <v>643</v>
      </c>
      <c r="B112" s="13"/>
      <c r="C112" s="13"/>
      <c r="D112" s="6"/>
      <c r="E112" s="13"/>
      <c r="F112" s="8"/>
      <c r="G112" s="8"/>
      <c r="H112" s="8" t="str">
        <f t="shared" si="3"/>
        <v/>
      </c>
      <c r="I112" s="8" t="str">
        <f t="shared" si="4"/>
        <v/>
      </c>
      <c r="J112" s="6"/>
      <c r="K112" s="6"/>
    </row>
    <row r="113" spans="1:11" x14ac:dyDescent="0.25">
      <c r="A113" s="13" t="s">
        <v>644</v>
      </c>
      <c r="B113" s="13"/>
      <c r="C113" s="13"/>
      <c r="D113" s="6"/>
      <c r="E113" s="13"/>
      <c r="F113" s="8"/>
      <c r="G113" s="8"/>
      <c r="H113" s="8" t="str">
        <f t="shared" si="3"/>
        <v/>
      </c>
      <c r="I113" s="8" t="str">
        <f t="shared" si="4"/>
        <v/>
      </c>
      <c r="J113" s="6"/>
      <c r="K113" s="6"/>
    </row>
    <row r="114" spans="1:11" x14ac:dyDescent="0.25">
      <c r="A114" s="13" t="s">
        <v>645</v>
      </c>
      <c r="B114" s="13"/>
      <c r="C114" s="13"/>
      <c r="D114" s="6"/>
      <c r="E114" s="13"/>
      <c r="F114" s="8"/>
      <c r="G114" s="8"/>
      <c r="H114" s="8" t="str">
        <f t="shared" si="3"/>
        <v/>
      </c>
      <c r="I114" s="8" t="str">
        <f t="shared" si="4"/>
        <v/>
      </c>
      <c r="J114" s="6"/>
      <c r="K114" s="6"/>
    </row>
    <row r="115" spans="1:11" x14ac:dyDescent="0.25">
      <c r="A115" s="13" t="s">
        <v>646</v>
      </c>
      <c r="B115" s="13"/>
      <c r="C115" s="13"/>
      <c r="D115" s="6"/>
      <c r="E115" s="13"/>
      <c r="F115" s="8"/>
      <c r="G115" s="8"/>
      <c r="H115" s="8" t="str">
        <f t="shared" si="3"/>
        <v/>
      </c>
      <c r="I115" s="8" t="str">
        <f t="shared" si="4"/>
        <v/>
      </c>
      <c r="J115" s="6"/>
      <c r="K115" s="6"/>
    </row>
    <row r="116" spans="1:11" x14ac:dyDescent="0.25">
      <c r="A116" s="13" t="s">
        <v>647</v>
      </c>
      <c r="B116" s="13"/>
      <c r="C116" s="13"/>
      <c r="D116" s="6"/>
      <c r="E116" s="13"/>
      <c r="F116" s="8"/>
      <c r="G116" s="8"/>
      <c r="H116" s="8" t="str">
        <f t="shared" si="3"/>
        <v/>
      </c>
      <c r="I116" s="8" t="str">
        <f t="shared" si="4"/>
        <v/>
      </c>
      <c r="J116" s="6"/>
      <c r="K116" s="6"/>
    </row>
    <row r="117" spans="1:11" x14ac:dyDescent="0.25">
      <c r="A117" s="13" t="s">
        <v>648</v>
      </c>
      <c r="B117" s="13"/>
      <c r="C117" s="13"/>
      <c r="D117" s="6"/>
      <c r="E117" s="13"/>
      <c r="F117" s="8"/>
      <c r="G117" s="8"/>
      <c r="H117" s="8" t="str">
        <f t="shared" si="3"/>
        <v/>
      </c>
      <c r="I117" s="8" t="str">
        <f t="shared" si="4"/>
        <v/>
      </c>
      <c r="J117" s="6"/>
      <c r="K117" s="6"/>
    </row>
    <row r="118" spans="1:11" x14ac:dyDescent="0.25">
      <c r="A118" s="13" t="s">
        <v>649</v>
      </c>
      <c r="B118" s="13"/>
      <c r="C118" s="13"/>
      <c r="D118" s="6"/>
      <c r="E118" s="13"/>
      <c r="F118" s="8"/>
      <c r="G118" s="8"/>
      <c r="H118" s="8" t="str">
        <f t="shared" si="3"/>
        <v/>
      </c>
      <c r="I118" s="8" t="str">
        <f t="shared" si="4"/>
        <v/>
      </c>
      <c r="J118" s="6"/>
      <c r="K118" s="6"/>
    </row>
    <row r="119" spans="1:11" x14ac:dyDescent="0.25">
      <c r="A119" s="13" t="s">
        <v>650</v>
      </c>
      <c r="B119" s="13"/>
      <c r="C119" s="13"/>
      <c r="D119" s="6"/>
      <c r="E119" s="13"/>
      <c r="F119" s="8"/>
      <c r="G119" s="8"/>
      <c r="H119" s="8" t="str">
        <f t="shared" si="3"/>
        <v/>
      </c>
      <c r="I119" s="8" t="str">
        <f t="shared" si="4"/>
        <v/>
      </c>
      <c r="J119" s="6"/>
      <c r="K119" s="6"/>
    </row>
    <row r="120" spans="1:11" x14ac:dyDescent="0.25">
      <c r="A120" s="13" t="s">
        <v>651</v>
      </c>
      <c r="B120" s="13"/>
      <c r="C120" s="13"/>
      <c r="D120" s="6"/>
      <c r="E120" s="13"/>
      <c r="F120" s="8"/>
      <c r="G120" s="8"/>
      <c r="H120" s="8" t="str">
        <f t="shared" si="3"/>
        <v/>
      </c>
      <c r="I120" s="8" t="str">
        <f t="shared" si="4"/>
        <v/>
      </c>
      <c r="J120" s="6"/>
      <c r="K120" s="6"/>
    </row>
    <row r="121" spans="1:11" x14ac:dyDescent="0.25">
      <c r="A121" s="13" t="s">
        <v>652</v>
      </c>
      <c r="B121" s="13"/>
      <c r="C121" s="13"/>
      <c r="D121" s="6"/>
      <c r="E121" s="13"/>
      <c r="F121" s="8"/>
      <c r="G121" s="8"/>
      <c r="H121" s="8" t="str">
        <f t="shared" si="3"/>
        <v/>
      </c>
      <c r="I121" s="8" t="str">
        <f t="shared" si="4"/>
        <v/>
      </c>
      <c r="J121" s="6"/>
      <c r="K121" s="6"/>
    </row>
    <row r="122" spans="1:11" x14ac:dyDescent="0.25">
      <c r="A122" s="13" t="s">
        <v>653</v>
      </c>
      <c r="B122" s="13"/>
      <c r="C122" s="13"/>
      <c r="D122" s="6"/>
      <c r="E122" s="13"/>
      <c r="F122" s="8"/>
      <c r="G122" s="8"/>
      <c r="H122" s="8" t="str">
        <f t="shared" si="3"/>
        <v/>
      </c>
      <c r="I122" s="8" t="str">
        <f t="shared" si="4"/>
        <v/>
      </c>
      <c r="J122" s="6"/>
      <c r="K122" s="6"/>
    </row>
    <row r="123" spans="1:11" x14ac:dyDescent="0.25">
      <c r="A123" s="13" t="s">
        <v>654</v>
      </c>
      <c r="B123" s="13"/>
      <c r="C123" s="13"/>
      <c r="D123" s="6"/>
      <c r="E123" s="13"/>
      <c r="F123" s="8"/>
      <c r="G123" s="8"/>
      <c r="H123" s="8" t="str">
        <f t="shared" si="3"/>
        <v/>
      </c>
      <c r="I123" s="8" t="str">
        <f t="shared" si="4"/>
        <v/>
      </c>
      <c r="J123" s="6"/>
      <c r="K123" s="6"/>
    </row>
    <row r="124" spans="1:11" x14ac:dyDescent="0.25">
      <c r="A124" s="13" t="s">
        <v>655</v>
      </c>
      <c r="B124" s="13"/>
      <c r="C124" s="13"/>
      <c r="D124" s="6"/>
      <c r="E124" s="13"/>
      <c r="F124" s="8"/>
      <c r="G124" s="8"/>
      <c r="H124" s="8" t="str">
        <f t="shared" si="3"/>
        <v/>
      </c>
      <c r="I124" s="8" t="str">
        <f t="shared" si="4"/>
        <v/>
      </c>
      <c r="J124" s="6"/>
      <c r="K124" s="6"/>
    </row>
    <row r="125" spans="1:11" x14ac:dyDescent="0.25">
      <c r="A125" s="13" t="s">
        <v>656</v>
      </c>
      <c r="B125" s="13"/>
      <c r="C125" s="13"/>
      <c r="D125" s="6"/>
      <c r="E125" s="13"/>
      <c r="F125" s="8"/>
      <c r="G125" s="8"/>
      <c r="H125" s="8" t="str">
        <f t="shared" si="3"/>
        <v/>
      </c>
      <c r="I125" s="8" t="str">
        <f t="shared" si="4"/>
        <v/>
      </c>
      <c r="J125" s="6"/>
      <c r="K125" s="6"/>
    </row>
    <row r="126" spans="1:11" x14ac:dyDescent="0.25">
      <c r="A126" s="13" t="s">
        <v>657</v>
      </c>
      <c r="B126" s="13"/>
      <c r="C126" s="13"/>
      <c r="D126" s="6"/>
      <c r="E126" s="13"/>
      <c r="F126" s="8"/>
      <c r="G126" s="8"/>
      <c r="H126" s="8" t="str">
        <f t="shared" si="3"/>
        <v/>
      </c>
      <c r="I126" s="8" t="str">
        <f t="shared" si="4"/>
        <v/>
      </c>
      <c r="J126" s="6"/>
      <c r="K126" s="6"/>
    </row>
    <row r="127" spans="1:11" x14ac:dyDescent="0.25">
      <c r="A127" s="13" t="s">
        <v>658</v>
      </c>
      <c r="B127" s="13"/>
      <c r="C127" s="13"/>
      <c r="D127" s="6"/>
      <c r="E127" s="13"/>
      <c r="F127" s="8"/>
      <c r="G127" s="8"/>
      <c r="H127" s="8" t="str">
        <f t="shared" si="3"/>
        <v/>
      </c>
      <c r="I127" s="8" t="str">
        <f t="shared" si="4"/>
        <v/>
      </c>
      <c r="J127" s="6"/>
      <c r="K127" s="6"/>
    </row>
    <row r="128" spans="1:11" x14ac:dyDescent="0.25">
      <c r="A128" s="13" t="s">
        <v>659</v>
      </c>
      <c r="B128" s="13"/>
      <c r="C128" s="13"/>
      <c r="D128" s="6"/>
      <c r="E128" s="13"/>
      <c r="F128" s="8"/>
      <c r="G128" s="8"/>
      <c r="H128" s="8" t="str">
        <f t="shared" si="3"/>
        <v/>
      </c>
      <c r="I128" s="8" t="str">
        <f t="shared" si="4"/>
        <v/>
      </c>
      <c r="J128" s="6"/>
      <c r="K128" s="6"/>
    </row>
    <row r="129" spans="1:11" x14ac:dyDescent="0.25">
      <c r="A129" s="13" t="s">
        <v>660</v>
      </c>
      <c r="B129" s="13"/>
      <c r="C129" s="13"/>
      <c r="D129" s="6"/>
      <c r="E129" s="13"/>
      <c r="F129" s="8"/>
      <c r="G129" s="8"/>
      <c r="H129" s="8" t="str">
        <f t="shared" si="3"/>
        <v/>
      </c>
      <c r="I129" s="8" t="str">
        <f t="shared" si="4"/>
        <v/>
      </c>
      <c r="J129" s="6"/>
      <c r="K129" s="6"/>
    </row>
    <row r="130" spans="1:11" x14ac:dyDescent="0.25">
      <c r="A130" s="13" t="s">
        <v>661</v>
      </c>
      <c r="B130" s="13"/>
      <c r="C130" s="13"/>
      <c r="D130" s="6"/>
      <c r="E130" s="13"/>
      <c r="F130" s="8"/>
      <c r="G130" s="8"/>
      <c r="H130" s="8" t="str">
        <f t="shared" si="3"/>
        <v/>
      </c>
      <c r="I130" s="8" t="str">
        <f t="shared" si="4"/>
        <v/>
      </c>
      <c r="J130" s="6"/>
      <c r="K130" s="6"/>
    </row>
    <row r="131" spans="1:11" x14ac:dyDescent="0.25">
      <c r="A131" s="13" t="s">
        <v>662</v>
      </c>
      <c r="B131" s="13"/>
      <c r="C131" s="13"/>
      <c r="D131" s="6"/>
      <c r="E131" s="13"/>
      <c r="F131" s="8"/>
      <c r="G131" s="8"/>
      <c r="H131" s="8" t="str">
        <f t="shared" si="3"/>
        <v/>
      </c>
      <c r="I131" s="8" t="str">
        <f t="shared" si="4"/>
        <v/>
      </c>
      <c r="J131" s="6"/>
      <c r="K131" s="6"/>
    </row>
    <row r="132" spans="1:11" x14ac:dyDescent="0.25">
      <c r="A132" s="13" t="s">
        <v>663</v>
      </c>
      <c r="B132" s="13"/>
      <c r="C132" s="13"/>
      <c r="D132" s="6"/>
      <c r="E132" s="13"/>
      <c r="F132" s="8"/>
      <c r="G132" s="8"/>
      <c r="H132" s="8" t="str">
        <f t="shared" si="3"/>
        <v/>
      </c>
      <c r="I132" s="8" t="str">
        <f t="shared" si="4"/>
        <v/>
      </c>
      <c r="J132" s="6"/>
      <c r="K132" s="6"/>
    </row>
    <row r="133" spans="1:11" x14ac:dyDescent="0.25">
      <c r="A133" s="13" t="s">
        <v>664</v>
      </c>
      <c r="B133" s="13"/>
      <c r="C133" s="13"/>
      <c r="D133" s="6"/>
      <c r="E133" s="13"/>
      <c r="F133" s="8"/>
      <c r="G133" s="8"/>
      <c r="H133" s="8" t="str">
        <f t="shared" ref="H133:H196" si="5">IF(AND(ISNUMBER(F133),ISNUMBER(G133),F133&gt;0,G133&gt;0), ROUND(F133*G133, 2), "")</f>
        <v/>
      </c>
      <c r="I133" s="8" t="str">
        <f t="shared" si="4"/>
        <v/>
      </c>
      <c r="J133" s="6"/>
      <c r="K133" s="6"/>
    </row>
    <row r="134" spans="1:11" x14ac:dyDescent="0.25">
      <c r="A134" s="13" t="s">
        <v>665</v>
      </c>
      <c r="B134" s="13"/>
      <c r="C134" s="13"/>
      <c r="D134" s="6"/>
      <c r="E134" s="13"/>
      <c r="F134" s="8"/>
      <c r="G134" s="8"/>
      <c r="H134" s="8" t="str">
        <f t="shared" si="5"/>
        <v/>
      </c>
      <c r="I134" s="8" t="str">
        <f t="shared" si="4"/>
        <v/>
      </c>
      <c r="J134" s="6"/>
      <c r="K134" s="6"/>
    </row>
    <row r="135" spans="1:11" x14ac:dyDescent="0.25">
      <c r="A135" s="13" t="s">
        <v>666</v>
      </c>
      <c r="B135" s="13"/>
      <c r="C135" s="13"/>
      <c r="D135" s="6"/>
      <c r="E135" s="13"/>
      <c r="F135" s="8"/>
      <c r="G135" s="8"/>
      <c r="H135" s="8" t="str">
        <f t="shared" si="5"/>
        <v/>
      </c>
      <c r="I135" s="8" t="str">
        <f t="shared" si="4"/>
        <v/>
      </c>
      <c r="J135" s="6"/>
      <c r="K135" s="6"/>
    </row>
    <row r="136" spans="1:11" x14ac:dyDescent="0.25">
      <c r="A136" s="13" t="s">
        <v>667</v>
      </c>
      <c r="B136" s="13"/>
      <c r="C136" s="13"/>
      <c r="D136" s="6"/>
      <c r="E136" s="13"/>
      <c r="F136" s="8"/>
      <c r="G136" s="8"/>
      <c r="H136" s="8" t="str">
        <f t="shared" si="5"/>
        <v/>
      </c>
      <c r="I136" s="8" t="str">
        <f t="shared" si="4"/>
        <v/>
      </c>
      <c r="J136" s="6"/>
      <c r="K136" s="6"/>
    </row>
    <row r="137" spans="1:11" x14ac:dyDescent="0.25">
      <c r="A137" s="13" t="s">
        <v>668</v>
      </c>
      <c r="B137" s="13"/>
      <c r="C137" s="13"/>
      <c r="D137" s="6"/>
      <c r="E137" s="13"/>
      <c r="F137" s="8"/>
      <c r="G137" s="8"/>
      <c r="H137" s="8" t="str">
        <f t="shared" si="5"/>
        <v/>
      </c>
      <c r="I137" s="8" t="str">
        <f t="shared" si="4"/>
        <v/>
      </c>
      <c r="J137" s="6"/>
      <c r="K137" s="6"/>
    </row>
    <row r="138" spans="1:11" x14ac:dyDescent="0.25">
      <c r="A138" s="13" t="s">
        <v>669</v>
      </c>
      <c r="B138" s="13"/>
      <c r="C138" s="13"/>
      <c r="D138" s="6"/>
      <c r="E138" s="13"/>
      <c r="F138" s="8"/>
      <c r="G138" s="8"/>
      <c r="H138" s="8" t="str">
        <f t="shared" si="5"/>
        <v/>
      </c>
      <c r="I138" s="8" t="str">
        <f t="shared" si="4"/>
        <v/>
      </c>
      <c r="J138" s="6"/>
      <c r="K138" s="6"/>
    </row>
    <row r="139" spans="1:11" x14ac:dyDescent="0.25">
      <c r="A139" s="13" t="s">
        <v>670</v>
      </c>
      <c r="B139" s="13"/>
      <c r="C139" s="13"/>
      <c r="D139" s="6"/>
      <c r="E139" s="13"/>
      <c r="F139" s="8"/>
      <c r="G139" s="8"/>
      <c r="H139" s="8" t="str">
        <f t="shared" si="5"/>
        <v/>
      </c>
      <c r="I139" s="8" t="str">
        <f t="shared" si="4"/>
        <v/>
      </c>
      <c r="J139" s="6"/>
      <c r="K139" s="6"/>
    </row>
    <row r="140" spans="1:11" x14ac:dyDescent="0.25">
      <c r="A140" s="13" t="s">
        <v>671</v>
      </c>
      <c r="B140" s="13"/>
      <c r="C140" s="13"/>
      <c r="D140" s="6"/>
      <c r="E140" s="13"/>
      <c r="F140" s="8"/>
      <c r="G140" s="8"/>
      <c r="H140" s="8" t="str">
        <f t="shared" si="5"/>
        <v/>
      </c>
      <c r="I140" s="8" t="str">
        <f t="shared" ref="I140:I203" si="6">IF(OR(H140="",H140=0), "", IF(ISNUMBER(I139), I139+H140, H140))</f>
        <v/>
      </c>
      <c r="J140" s="6"/>
      <c r="K140" s="6"/>
    </row>
    <row r="141" spans="1:11" x14ac:dyDescent="0.25">
      <c r="A141" s="13" t="s">
        <v>672</v>
      </c>
      <c r="B141" s="13"/>
      <c r="C141" s="13"/>
      <c r="D141" s="6"/>
      <c r="E141" s="13"/>
      <c r="F141" s="8"/>
      <c r="G141" s="8"/>
      <c r="H141" s="8" t="str">
        <f t="shared" si="5"/>
        <v/>
      </c>
      <c r="I141" s="8" t="str">
        <f t="shared" si="6"/>
        <v/>
      </c>
      <c r="J141" s="6"/>
      <c r="K141" s="6"/>
    </row>
    <row r="142" spans="1:11" x14ac:dyDescent="0.25">
      <c r="A142" s="13" t="s">
        <v>673</v>
      </c>
      <c r="B142" s="13"/>
      <c r="C142" s="13"/>
      <c r="D142" s="6"/>
      <c r="E142" s="13"/>
      <c r="F142" s="8"/>
      <c r="G142" s="8"/>
      <c r="H142" s="8" t="str">
        <f t="shared" si="5"/>
        <v/>
      </c>
      <c r="I142" s="8" t="str">
        <f t="shared" si="6"/>
        <v/>
      </c>
      <c r="J142" s="6"/>
      <c r="K142" s="6"/>
    </row>
    <row r="143" spans="1:11" x14ac:dyDescent="0.25">
      <c r="A143" s="13" t="s">
        <v>674</v>
      </c>
      <c r="B143" s="13"/>
      <c r="C143" s="13"/>
      <c r="D143" s="6"/>
      <c r="E143" s="13"/>
      <c r="F143" s="8"/>
      <c r="G143" s="8"/>
      <c r="H143" s="8" t="str">
        <f t="shared" si="5"/>
        <v/>
      </c>
      <c r="I143" s="8" t="str">
        <f t="shared" si="6"/>
        <v/>
      </c>
      <c r="J143" s="6"/>
      <c r="K143" s="6"/>
    </row>
    <row r="144" spans="1:11" x14ac:dyDescent="0.25">
      <c r="A144" s="13" t="s">
        <v>675</v>
      </c>
      <c r="B144" s="13"/>
      <c r="C144" s="13"/>
      <c r="D144" s="6"/>
      <c r="E144" s="13"/>
      <c r="F144" s="8"/>
      <c r="G144" s="8"/>
      <c r="H144" s="8" t="str">
        <f t="shared" si="5"/>
        <v/>
      </c>
      <c r="I144" s="8" t="str">
        <f t="shared" si="6"/>
        <v/>
      </c>
      <c r="J144" s="6"/>
      <c r="K144" s="6"/>
    </row>
    <row r="145" spans="1:11" x14ac:dyDescent="0.25">
      <c r="A145" s="13" t="s">
        <v>676</v>
      </c>
      <c r="B145" s="13"/>
      <c r="C145" s="13"/>
      <c r="D145" s="6"/>
      <c r="E145" s="13"/>
      <c r="F145" s="8"/>
      <c r="G145" s="8"/>
      <c r="H145" s="8" t="str">
        <f t="shared" si="5"/>
        <v/>
      </c>
      <c r="I145" s="8" t="str">
        <f t="shared" si="6"/>
        <v/>
      </c>
      <c r="J145" s="6"/>
      <c r="K145" s="6"/>
    </row>
    <row r="146" spans="1:11" x14ac:dyDescent="0.25">
      <c r="A146" s="13" t="s">
        <v>677</v>
      </c>
      <c r="B146" s="13"/>
      <c r="C146" s="13"/>
      <c r="D146" s="6"/>
      <c r="E146" s="13"/>
      <c r="F146" s="8"/>
      <c r="G146" s="8"/>
      <c r="H146" s="8" t="str">
        <f t="shared" si="5"/>
        <v/>
      </c>
      <c r="I146" s="8" t="str">
        <f t="shared" si="6"/>
        <v/>
      </c>
      <c r="J146" s="6"/>
      <c r="K146" s="6"/>
    </row>
    <row r="147" spans="1:11" x14ac:dyDescent="0.25">
      <c r="A147" s="13" t="s">
        <v>678</v>
      </c>
      <c r="B147" s="13"/>
      <c r="C147" s="13"/>
      <c r="D147" s="6"/>
      <c r="E147" s="13"/>
      <c r="F147" s="8"/>
      <c r="G147" s="8"/>
      <c r="H147" s="8" t="str">
        <f t="shared" si="5"/>
        <v/>
      </c>
      <c r="I147" s="8" t="str">
        <f t="shared" si="6"/>
        <v/>
      </c>
      <c r="J147" s="6"/>
      <c r="K147" s="6"/>
    </row>
    <row r="148" spans="1:11" x14ac:dyDescent="0.25">
      <c r="A148" s="13" t="s">
        <v>679</v>
      </c>
      <c r="B148" s="13"/>
      <c r="C148" s="13"/>
      <c r="D148" s="6"/>
      <c r="E148" s="13"/>
      <c r="F148" s="8"/>
      <c r="G148" s="8"/>
      <c r="H148" s="8" t="str">
        <f t="shared" si="5"/>
        <v/>
      </c>
      <c r="I148" s="8" t="str">
        <f t="shared" si="6"/>
        <v/>
      </c>
      <c r="J148" s="6"/>
      <c r="K148" s="6"/>
    </row>
    <row r="149" spans="1:11" x14ac:dyDescent="0.25">
      <c r="A149" s="13" t="s">
        <v>680</v>
      </c>
      <c r="B149" s="13"/>
      <c r="C149" s="13"/>
      <c r="D149" s="6"/>
      <c r="E149" s="13"/>
      <c r="F149" s="8"/>
      <c r="G149" s="8"/>
      <c r="H149" s="8" t="str">
        <f t="shared" si="5"/>
        <v/>
      </c>
      <c r="I149" s="8" t="str">
        <f t="shared" si="6"/>
        <v/>
      </c>
      <c r="J149" s="6"/>
      <c r="K149" s="6"/>
    </row>
    <row r="150" spans="1:11" x14ac:dyDescent="0.25">
      <c r="A150" s="13" t="s">
        <v>681</v>
      </c>
      <c r="B150" s="13"/>
      <c r="C150" s="13"/>
      <c r="D150" s="6"/>
      <c r="E150" s="13"/>
      <c r="F150" s="8"/>
      <c r="G150" s="8"/>
      <c r="H150" s="8" t="str">
        <f t="shared" si="5"/>
        <v/>
      </c>
      <c r="I150" s="8" t="str">
        <f t="shared" si="6"/>
        <v/>
      </c>
      <c r="J150" s="6"/>
      <c r="K150" s="6"/>
    </row>
    <row r="151" spans="1:11" x14ac:dyDescent="0.25">
      <c r="A151" s="13" t="s">
        <v>682</v>
      </c>
      <c r="B151" s="13"/>
      <c r="C151" s="13"/>
      <c r="D151" s="6"/>
      <c r="E151" s="13"/>
      <c r="F151" s="8"/>
      <c r="G151" s="8"/>
      <c r="H151" s="8" t="str">
        <f t="shared" si="5"/>
        <v/>
      </c>
      <c r="I151" s="8" t="str">
        <f t="shared" si="6"/>
        <v/>
      </c>
      <c r="J151" s="6"/>
      <c r="K151" s="6"/>
    </row>
    <row r="152" spans="1:11" x14ac:dyDescent="0.25">
      <c r="A152" s="13" t="s">
        <v>683</v>
      </c>
      <c r="B152" s="13"/>
      <c r="C152" s="13"/>
      <c r="D152" s="6"/>
      <c r="E152" s="13"/>
      <c r="F152" s="8"/>
      <c r="G152" s="8"/>
      <c r="H152" s="8" t="str">
        <f t="shared" si="5"/>
        <v/>
      </c>
      <c r="I152" s="8" t="str">
        <f t="shared" si="6"/>
        <v/>
      </c>
      <c r="J152" s="6"/>
      <c r="K152" s="6"/>
    </row>
    <row r="153" spans="1:11" x14ac:dyDescent="0.25">
      <c r="A153" s="13" t="s">
        <v>684</v>
      </c>
      <c r="B153" s="13"/>
      <c r="C153" s="13"/>
      <c r="D153" s="6"/>
      <c r="E153" s="13"/>
      <c r="F153" s="8"/>
      <c r="G153" s="8"/>
      <c r="H153" s="8" t="str">
        <f t="shared" si="5"/>
        <v/>
      </c>
      <c r="I153" s="8" t="str">
        <f t="shared" si="6"/>
        <v/>
      </c>
      <c r="J153" s="6"/>
      <c r="K153" s="6"/>
    </row>
    <row r="154" spans="1:11" x14ac:dyDescent="0.25">
      <c r="A154" s="13" t="s">
        <v>685</v>
      </c>
      <c r="B154" s="13"/>
      <c r="C154" s="13"/>
      <c r="D154" s="6"/>
      <c r="E154" s="13"/>
      <c r="F154" s="8"/>
      <c r="G154" s="8"/>
      <c r="H154" s="8" t="str">
        <f t="shared" si="5"/>
        <v/>
      </c>
      <c r="I154" s="8" t="str">
        <f t="shared" si="6"/>
        <v/>
      </c>
      <c r="J154" s="6"/>
      <c r="K154" s="6"/>
    </row>
    <row r="155" spans="1:11" x14ac:dyDescent="0.25">
      <c r="A155" s="13" t="s">
        <v>686</v>
      </c>
      <c r="B155" s="13"/>
      <c r="C155" s="13"/>
      <c r="D155" s="6"/>
      <c r="E155" s="13"/>
      <c r="F155" s="8"/>
      <c r="G155" s="8"/>
      <c r="H155" s="8" t="str">
        <f t="shared" si="5"/>
        <v/>
      </c>
      <c r="I155" s="8" t="str">
        <f t="shared" si="6"/>
        <v/>
      </c>
      <c r="J155" s="6"/>
      <c r="K155" s="6"/>
    </row>
    <row r="156" spans="1:11" x14ac:dyDescent="0.25">
      <c r="A156" s="13" t="s">
        <v>687</v>
      </c>
      <c r="B156" s="13"/>
      <c r="C156" s="13"/>
      <c r="D156" s="6"/>
      <c r="E156" s="13"/>
      <c r="F156" s="8"/>
      <c r="G156" s="8"/>
      <c r="H156" s="8" t="str">
        <f t="shared" si="5"/>
        <v/>
      </c>
      <c r="I156" s="8" t="str">
        <f t="shared" si="6"/>
        <v/>
      </c>
      <c r="J156" s="6"/>
      <c r="K156" s="6"/>
    </row>
    <row r="157" spans="1:11" x14ac:dyDescent="0.25">
      <c r="A157" s="13" t="s">
        <v>688</v>
      </c>
      <c r="B157" s="13"/>
      <c r="C157" s="13"/>
      <c r="D157" s="6"/>
      <c r="E157" s="13"/>
      <c r="F157" s="8"/>
      <c r="G157" s="8"/>
      <c r="H157" s="8" t="str">
        <f t="shared" si="5"/>
        <v/>
      </c>
      <c r="I157" s="8" t="str">
        <f t="shared" si="6"/>
        <v/>
      </c>
      <c r="J157" s="6"/>
      <c r="K157" s="6"/>
    </row>
    <row r="158" spans="1:11" x14ac:dyDescent="0.25">
      <c r="A158" s="13" t="s">
        <v>689</v>
      </c>
      <c r="B158" s="13"/>
      <c r="C158" s="13"/>
      <c r="D158" s="6"/>
      <c r="E158" s="13"/>
      <c r="F158" s="8"/>
      <c r="G158" s="8"/>
      <c r="H158" s="8" t="str">
        <f t="shared" si="5"/>
        <v/>
      </c>
      <c r="I158" s="8" t="str">
        <f t="shared" si="6"/>
        <v/>
      </c>
      <c r="J158" s="6"/>
      <c r="K158" s="6"/>
    </row>
    <row r="159" spans="1:11" x14ac:dyDescent="0.25">
      <c r="A159" s="13" t="s">
        <v>690</v>
      </c>
      <c r="B159" s="13"/>
      <c r="C159" s="13"/>
      <c r="D159" s="6"/>
      <c r="E159" s="13"/>
      <c r="F159" s="8"/>
      <c r="G159" s="8"/>
      <c r="H159" s="8" t="str">
        <f t="shared" si="5"/>
        <v/>
      </c>
      <c r="I159" s="8" t="str">
        <f t="shared" si="6"/>
        <v/>
      </c>
      <c r="J159" s="6"/>
      <c r="K159" s="6"/>
    </row>
    <row r="160" spans="1:11" x14ac:dyDescent="0.25">
      <c r="A160" s="13" t="s">
        <v>691</v>
      </c>
      <c r="B160" s="13"/>
      <c r="C160" s="13"/>
      <c r="D160" s="6"/>
      <c r="E160" s="13"/>
      <c r="F160" s="8"/>
      <c r="G160" s="8"/>
      <c r="H160" s="8" t="str">
        <f t="shared" si="5"/>
        <v/>
      </c>
      <c r="I160" s="8" t="str">
        <f t="shared" si="6"/>
        <v/>
      </c>
      <c r="J160" s="6"/>
      <c r="K160" s="6"/>
    </row>
    <row r="161" spans="1:11" x14ac:dyDescent="0.25">
      <c r="A161" s="13" t="s">
        <v>692</v>
      </c>
      <c r="B161" s="13"/>
      <c r="C161" s="13"/>
      <c r="D161" s="6"/>
      <c r="E161" s="13"/>
      <c r="F161" s="8"/>
      <c r="G161" s="8"/>
      <c r="H161" s="8" t="str">
        <f t="shared" si="5"/>
        <v/>
      </c>
      <c r="I161" s="8" t="str">
        <f t="shared" si="6"/>
        <v/>
      </c>
      <c r="J161" s="6"/>
      <c r="K161" s="6"/>
    </row>
    <row r="162" spans="1:11" x14ac:dyDescent="0.25">
      <c r="A162" s="13" t="s">
        <v>693</v>
      </c>
      <c r="B162" s="13"/>
      <c r="C162" s="13"/>
      <c r="D162" s="6"/>
      <c r="E162" s="13"/>
      <c r="F162" s="8"/>
      <c r="G162" s="8"/>
      <c r="H162" s="8" t="str">
        <f t="shared" si="5"/>
        <v/>
      </c>
      <c r="I162" s="8" t="str">
        <f t="shared" si="6"/>
        <v/>
      </c>
      <c r="J162" s="6"/>
      <c r="K162" s="6"/>
    </row>
    <row r="163" spans="1:11" x14ac:dyDescent="0.25">
      <c r="A163" s="13" t="s">
        <v>694</v>
      </c>
      <c r="B163" s="13"/>
      <c r="C163" s="13"/>
      <c r="D163" s="6"/>
      <c r="E163" s="13"/>
      <c r="F163" s="8"/>
      <c r="G163" s="8"/>
      <c r="H163" s="8" t="str">
        <f t="shared" si="5"/>
        <v/>
      </c>
      <c r="I163" s="8" t="str">
        <f t="shared" si="6"/>
        <v/>
      </c>
      <c r="J163" s="6"/>
      <c r="K163" s="6"/>
    </row>
    <row r="164" spans="1:11" x14ac:dyDescent="0.25">
      <c r="A164" s="13" t="s">
        <v>695</v>
      </c>
      <c r="B164" s="13"/>
      <c r="C164" s="13"/>
      <c r="D164" s="6"/>
      <c r="E164" s="13"/>
      <c r="F164" s="8"/>
      <c r="G164" s="8"/>
      <c r="H164" s="8" t="str">
        <f t="shared" si="5"/>
        <v/>
      </c>
      <c r="I164" s="8" t="str">
        <f t="shared" si="6"/>
        <v/>
      </c>
      <c r="J164" s="6"/>
      <c r="K164" s="6"/>
    </row>
    <row r="165" spans="1:11" x14ac:dyDescent="0.25">
      <c r="A165" s="13" t="s">
        <v>696</v>
      </c>
      <c r="B165" s="13"/>
      <c r="C165" s="13"/>
      <c r="D165" s="6"/>
      <c r="E165" s="13"/>
      <c r="F165" s="8"/>
      <c r="G165" s="8"/>
      <c r="H165" s="8" t="str">
        <f t="shared" si="5"/>
        <v/>
      </c>
      <c r="I165" s="8" t="str">
        <f t="shared" si="6"/>
        <v/>
      </c>
      <c r="J165" s="6"/>
      <c r="K165" s="6"/>
    </row>
    <row r="166" spans="1:11" x14ac:dyDescent="0.25">
      <c r="A166" s="13" t="s">
        <v>697</v>
      </c>
      <c r="B166" s="13"/>
      <c r="C166" s="13"/>
      <c r="D166" s="6"/>
      <c r="E166" s="13"/>
      <c r="F166" s="8"/>
      <c r="G166" s="8"/>
      <c r="H166" s="8" t="str">
        <f t="shared" si="5"/>
        <v/>
      </c>
      <c r="I166" s="8" t="str">
        <f t="shared" si="6"/>
        <v/>
      </c>
      <c r="J166" s="6"/>
      <c r="K166" s="6"/>
    </row>
    <row r="167" spans="1:11" x14ac:dyDescent="0.25">
      <c r="A167" s="13" t="s">
        <v>698</v>
      </c>
      <c r="B167" s="13"/>
      <c r="C167" s="13"/>
      <c r="D167" s="6"/>
      <c r="E167" s="13"/>
      <c r="F167" s="8"/>
      <c r="G167" s="8"/>
      <c r="H167" s="8" t="str">
        <f t="shared" si="5"/>
        <v/>
      </c>
      <c r="I167" s="8" t="str">
        <f t="shared" si="6"/>
        <v/>
      </c>
      <c r="J167" s="6"/>
      <c r="K167" s="6"/>
    </row>
    <row r="168" spans="1:11" x14ac:dyDescent="0.25">
      <c r="A168" s="13" t="s">
        <v>699</v>
      </c>
      <c r="B168" s="13"/>
      <c r="C168" s="13"/>
      <c r="D168" s="6"/>
      <c r="E168" s="13"/>
      <c r="F168" s="8"/>
      <c r="G168" s="8"/>
      <c r="H168" s="8" t="str">
        <f t="shared" si="5"/>
        <v/>
      </c>
      <c r="I168" s="8" t="str">
        <f t="shared" si="6"/>
        <v/>
      </c>
      <c r="J168" s="6"/>
      <c r="K168" s="6"/>
    </row>
    <row r="169" spans="1:11" x14ac:dyDescent="0.25">
      <c r="A169" s="13" t="s">
        <v>700</v>
      </c>
      <c r="B169" s="13"/>
      <c r="C169" s="13"/>
      <c r="D169" s="6"/>
      <c r="E169" s="13"/>
      <c r="F169" s="8"/>
      <c r="G169" s="8"/>
      <c r="H169" s="8" t="str">
        <f t="shared" si="5"/>
        <v/>
      </c>
      <c r="I169" s="8" t="str">
        <f t="shared" si="6"/>
        <v/>
      </c>
      <c r="J169" s="6"/>
      <c r="K169" s="6"/>
    </row>
    <row r="170" spans="1:11" x14ac:dyDescent="0.25">
      <c r="A170" s="13" t="s">
        <v>701</v>
      </c>
      <c r="B170" s="13"/>
      <c r="C170" s="13"/>
      <c r="D170" s="6"/>
      <c r="E170" s="13"/>
      <c r="F170" s="8"/>
      <c r="G170" s="8"/>
      <c r="H170" s="8" t="str">
        <f t="shared" si="5"/>
        <v/>
      </c>
      <c r="I170" s="8" t="str">
        <f t="shared" si="6"/>
        <v/>
      </c>
      <c r="J170" s="6"/>
      <c r="K170" s="6"/>
    </row>
    <row r="171" spans="1:11" x14ac:dyDescent="0.25">
      <c r="A171" s="13" t="s">
        <v>702</v>
      </c>
      <c r="B171" s="13"/>
      <c r="C171" s="13"/>
      <c r="D171" s="6"/>
      <c r="E171" s="13"/>
      <c r="F171" s="8"/>
      <c r="G171" s="8"/>
      <c r="H171" s="8" t="str">
        <f t="shared" si="5"/>
        <v/>
      </c>
      <c r="I171" s="8" t="str">
        <f t="shared" si="6"/>
        <v/>
      </c>
      <c r="J171" s="6"/>
      <c r="K171" s="6"/>
    </row>
    <row r="172" spans="1:11" x14ac:dyDescent="0.25">
      <c r="A172" s="13" t="s">
        <v>703</v>
      </c>
      <c r="B172" s="13"/>
      <c r="C172" s="13"/>
      <c r="D172" s="6"/>
      <c r="E172" s="13"/>
      <c r="F172" s="8"/>
      <c r="G172" s="8"/>
      <c r="H172" s="8" t="str">
        <f t="shared" si="5"/>
        <v/>
      </c>
      <c r="I172" s="8" t="str">
        <f t="shared" si="6"/>
        <v/>
      </c>
      <c r="J172" s="6"/>
      <c r="K172" s="6"/>
    </row>
    <row r="173" spans="1:11" x14ac:dyDescent="0.25">
      <c r="A173" s="13" t="s">
        <v>704</v>
      </c>
      <c r="B173" s="13"/>
      <c r="C173" s="13"/>
      <c r="D173" s="6"/>
      <c r="E173" s="13"/>
      <c r="F173" s="8"/>
      <c r="G173" s="8"/>
      <c r="H173" s="8" t="str">
        <f t="shared" si="5"/>
        <v/>
      </c>
      <c r="I173" s="8" t="str">
        <f t="shared" si="6"/>
        <v/>
      </c>
      <c r="J173" s="6"/>
      <c r="K173" s="6"/>
    </row>
    <row r="174" spans="1:11" x14ac:dyDescent="0.25">
      <c r="A174" s="13" t="s">
        <v>705</v>
      </c>
      <c r="B174" s="13"/>
      <c r="C174" s="13"/>
      <c r="D174" s="6"/>
      <c r="E174" s="13"/>
      <c r="F174" s="8"/>
      <c r="G174" s="8"/>
      <c r="H174" s="8" t="str">
        <f t="shared" si="5"/>
        <v/>
      </c>
      <c r="I174" s="8" t="str">
        <f t="shared" si="6"/>
        <v/>
      </c>
      <c r="J174" s="6"/>
      <c r="K174" s="6"/>
    </row>
    <row r="175" spans="1:11" x14ac:dyDescent="0.25">
      <c r="A175" s="13" t="s">
        <v>706</v>
      </c>
      <c r="B175" s="13"/>
      <c r="C175" s="13"/>
      <c r="D175" s="6"/>
      <c r="E175" s="13"/>
      <c r="F175" s="8"/>
      <c r="G175" s="8"/>
      <c r="H175" s="8" t="str">
        <f t="shared" si="5"/>
        <v/>
      </c>
      <c r="I175" s="8" t="str">
        <f t="shared" si="6"/>
        <v/>
      </c>
      <c r="J175" s="6"/>
      <c r="K175" s="6"/>
    </row>
    <row r="176" spans="1:11" x14ac:dyDescent="0.25">
      <c r="A176" s="13" t="s">
        <v>707</v>
      </c>
      <c r="B176" s="13"/>
      <c r="C176" s="13"/>
      <c r="D176" s="6"/>
      <c r="E176" s="13"/>
      <c r="F176" s="8"/>
      <c r="G176" s="8"/>
      <c r="H176" s="8" t="str">
        <f t="shared" si="5"/>
        <v/>
      </c>
      <c r="I176" s="8" t="str">
        <f t="shared" si="6"/>
        <v/>
      </c>
      <c r="J176" s="6"/>
      <c r="K176" s="6"/>
    </row>
    <row r="177" spans="1:11" x14ac:dyDescent="0.25">
      <c r="A177" s="13" t="s">
        <v>708</v>
      </c>
      <c r="B177" s="13"/>
      <c r="C177" s="13"/>
      <c r="D177" s="6"/>
      <c r="E177" s="13"/>
      <c r="F177" s="8"/>
      <c r="G177" s="8"/>
      <c r="H177" s="8" t="str">
        <f t="shared" si="5"/>
        <v/>
      </c>
      <c r="I177" s="8" t="str">
        <f t="shared" si="6"/>
        <v/>
      </c>
      <c r="J177" s="6"/>
      <c r="K177" s="6"/>
    </row>
    <row r="178" spans="1:11" x14ac:dyDescent="0.25">
      <c r="A178" s="13" t="s">
        <v>709</v>
      </c>
      <c r="B178" s="13"/>
      <c r="C178" s="13"/>
      <c r="D178" s="6"/>
      <c r="E178" s="13"/>
      <c r="F178" s="8"/>
      <c r="G178" s="8"/>
      <c r="H178" s="8" t="str">
        <f t="shared" si="5"/>
        <v/>
      </c>
      <c r="I178" s="8" t="str">
        <f t="shared" si="6"/>
        <v/>
      </c>
      <c r="J178" s="6"/>
      <c r="K178" s="6"/>
    </row>
    <row r="179" spans="1:11" x14ac:dyDescent="0.25">
      <c r="A179" s="13" t="s">
        <v>710</v>
      </c>
      <c r="B179" s="13"/>
      <c r="C179" s="13"/>
      <c r="D179" s="6"/>
      <c r="E179" s="13"/>
      <c r="F179" s="8"/>
      <c r="G179" s="8"/>
      <c r="H179" s="8" t="str">
        <f t="shared" si="5"/>
        <v/>
      </c>
      <c r="I179" s="8" t="str">
        <f t="shared" si="6"/>
        <v/>
      </c>
      <c r="J179" s="6"/>
      <c r="K179" s="6"/>
    </row>
    <row r="180" spans="1:11" x14ac:dyDescent="0.25">
      <c r="A180" s="13" t="s">
        <v>711</v>
      </c>
      <c r="B180" s="13"/>
      <c r="C180" s="13"/>
      <c r="D180" s="6"/>
      <c r="E180" s="13"/>
      <c r="F180" s="8"/>
      <c r="G180" s="8"/>
      <c r="H180" s="8" t="str">
        <f t="shared" si="5"/>
        <v/>
      </c>
      <c r="I180" s="8" t="str">
        <f t="shared" si="6"/>
        <v/>
      </c>
      <c r="J180" s="6"/>
      <c r="K180" s="6"/>
    </row>
    <row r="181" spans="1:11" x14ac:dyDescent="0.25">
      <c r="A181" s="13" t="s">
        <v>712</v>
      </c>
      <c r="B181" s="13"/>
      <c r="C181" s="13"/>
      <c r="D181" s="6"/>
      <c r="E181" s="13"/>
      <c r="F181" s="8"/>
      <c r="G181" s="8"/>
      <c r="H181" s="8" t="str">
        <f t="shared" si="5"/>
        <v/>
      </c>
      <c r="I181" s="8" t="str">
        <f t="shared" si="6"/>
        <v/>
      </c>
      <c r="J181" s="6"/>
      <c r="K181" s="6"/>
    </row>
    <row r="182" spans="1:11" x14ac:dyDescent="0.25">
      <c r="A182" s="13" t="s">
        <v>713</v>
      </c>
      <c r="B182" s="13"/>
      <c r="C182" s="13"/>
      <c r="D182" s="6"/>
      <c r="E182" s="13"/>
      <c r="F182" s="8"/>
      <c r="G182" s="8"/>
      <c r="H182" s="8" t="str">
        <f t="shared" si="5"/>
        <v/>
      </c>
      <c r="I182" s="8" t="str">
        <f t="shared" si="6"/>
        <v/>
      </c>
      <c r="J182" s="6"/>
      <c r="K182" s="6"/>
    </row>
    <row r="183" spans="1:11" x14ac:dyDescent="0.25">
      <c r="A183" s="13" t="s">
        <v>714</v>
      </c>
      <c r="B183" s="13"/>
      <c r="C183" s="13"/>
      <c r="D183" s="6"/>
      <c r="E183" s="13"/>
      <c r="F183" s="8"/>
      <c r="G183" s="8"/>
      <c r="H183" s="8" t="str">
        <f t="shared" si="5"/>
        <v/>
      </c>
      <c r="I183" s="8" t="str">
        <f t="shared" si="6"/>
        <v/>
      </c>
      <c r="J183" s="6"/>
      <c r="K183" s="6"/>
    </row>
    <row r="184" spans="1:11" x14ac:dyDescent="0.25">
      <c r="A184" s="13" t="s">
        <v>715</v>
      </c>
      <c r="B184" s="13"/>
      <c r="C184" s="13"/>
      <c r="D184" s="6"/>
      <c r="E184" s="13"/>
      <c r="F184" s="8"/>
      <c r="G184" s="8"/>
      <c r="H184" s="8" t="str">
        <f t="shared" si="5"/>
        <v/>
      </c>
      <c r="I184" s="8" t="str">
        <f t="shared" si="6"/>
        <v/>
      </c>
      <c r="J184" s="6"/>
      <c r="K184" s="6"/>
    </row>
    <row r="185" spans="1:11" x14ac:dyDescent="0.25">
      <c r="A185" s="13" t="s">
        <v>716</v>
      </c>
      <c r="B185" s="13"/>
      <c r="C185" s="13"/>
      <c r="D185" s="6"/>
      <c r="E185" s="13"/>
      <c r="F185" s="8"/>
      <c r="G185" s="8"/>
      <c r="H185" s="8" t="str">
        <f t="shared" si="5"/>
        <v/>
      </c>
      <c r="I185" s="8" t="str">
        <f t="shared" si="6"/>
        <v/>
      </c>
      <c r="J185" s="6"/>
      <c r="K185" s="6"/>
    </row>
    <row r="186" spans="1:11" x14ac:dyDescent="0.25">
      <c r="A186" s="13" t="s">
        <v>717</v>
      </c>
      <c r="B186" s="13"/>
      <c r="C186" s="13"/>
      <c r="D186" s="6"/>
      <c r="E186" s="13"/>
      <c r="F186" s="8"/>
      <c r="G186" s="8"/>
      <c r="H186" s="8" t="str">
        <f t="shared" si="5"/>
        <v/>
      </c>
      <c r="I186" s="8" t="str">
        <f t="shared" si="6"/>
        <v/>
      </c>
      <c r="J186" s="6"/>
      <c r="K186" s="6"/>
    </row>
    <row r="187" spans="1:11" x14ac:dyDescent="0.25">
      <c r="A187" s="13" t="s">
        <v>718</v>
      </c>
      <c r="B187" s="13"/>
      <c r="C187" s="13"/>
      <c r="D187" s="6"/>
      <c r="E187" s="13"/>
      <c r="F187" s="8"/>
      <c r="G187" s="8"/>
      <c r="H187" s="8" t="str">
        <f t="shared" si="5"/>
        <v/>
      </c>
      <c r="I187" s="8" t="str">
        <f t="shared" si="6"/>
        <v/>
      </c>
      <c r="J187" s="6"/>
      <c r="K187" s="6"/>
    </row>
    <row r="188" spans="1:11" x14ac:dyDescent="0.25">
      <c r="A188" s="13" t="s">
        <v>719</v>
      </c>
      <c r="B188" s="13"/>
      <c r="C188" s="13"/>
      <c r="D188" s="6"/>
      <c r="E188" s="13"/>
      <c r="F188" s="8"/>
      <c r="G188" s="8"/>
      <c r="H188" s="8" t="str">
        <f t="shared" si="5"/>
        <v/>
      </c>
      <c r="I188" s="8" t="str">
        <f t="shared" si="6"/>
        <v/>
      </c>
      <c r="J188" s="6"/>
      <c r="K188" s="6"/>
    </row>
    <row r="189" spans="1:11" x14ac:dyDescent="0.25">
      <c r="A189" s="13" t="s">
        <v>720</v>
      </c>
      <c r="B189" s="13"/>
      <c r="C189" s="13"/>
      <c r="D189" s="6"/>
      <c r="E189" s="13"/>
      <c r="F189" s="8"/>
      <c r="G189" s="8"/>
      <c r="H189" s="8" t="str">
        <f t="shared" si="5"/>
        <v/>
      </c>
      <c r="I189" s="8" t="str">
        <f t="shared" si="6"/>
        <v/>
      </c>
      <c r="J189" s="6"/>
      <c r="K189" s="6"/>
    </row>
    <row r="190" spans="1:11" x14ac:dyDescent="0.25">
      <c r="A190" s="13" t="s">
        <v>721</v>
      </c>
      <c r="B190" s="13"/>
      <c r="C190" s="13"/>
      <c r="D190" s="6"/>
      <c r="E190" s="13"/>
      <c r="F190" s="8"/>
      <c r="G190" s="8"/>
      <c r="H190" s="8" t="str">
        <f t="shared" si="5"/>
        <v/>
      </c>
      <c r="I190" s="8" t="str">
        <f t="shared" si="6"/>
        <v/>
      </c>
      <c r="J190" s="6"/>
      <c r="K190" s="6"/>
    </row>
    <row r="191" spans="1:11" x14ac:dyDescent="0.25">
      <c r="A191" s="13" t="s">
        <v>722</v>
      </c>
      <c r="B191" s="13"/>
      <c r="C191" s="13"/>
      <c r="D191" s="6"/>
      <c r="E191" s="13"/>
      <c r="F191" s="8"/>
      <c r="G191" s="8"/>
      <c r="H191" s="8" t="str">
        <f t="shared" si="5"/>
        <v/>
      </c>
      <c r="I191" s="8" t="str">
        <f t="shared" si="6"/>
        <v/>
      </c>
      <c r="J191" s="6"/>
      <c r="K191" s="6"/>
    </row>
    <row r="192" spans="1:11" x14ac:dyDescent="0.25">
      <c r="A192" s="13" t="s">
        <v>723</v>
      </c>
      <c r="B192" s="13"/>
      <c r="C192" s="13"/>
      <c r="D192" s="6"/>
      <c r="E192" s="13"/>
      <c r="F192" s="8"/>
      <c r="G192" s="8"/>
      <c r="H192" s="8" t="str">
        <f t="shared" si="5"/>
        <v/>
      </c>
      <c r="I192" s="8" t="str">
        <f t="shared" si="6"/>
        <v/>
      </c>
      <c r="J192" s="6"/>
      <c r="K192" s="6"/>
    </row>
    <row r="193" spans="1:11" x14ac:dyDescent="0.25">
      <c r="A193" s="13" t="s">
        <v>724</v>
      </c>
      <c r="B193" s="13"/>
      <c r="C193" s="13"/>
      <c r="D193" s="6"/>
      <c r="E193" s="13"/>
      <c r="F193" s="8"/>
      <c r="G193" s="8"/>
      <c r="H193" s="8" t="str">
        <f t="shared" si="5"/>
        <v/>
      </c>
      <c r="I193" s="8" t="str">
        <f t="shared" si="6"/>
        <v/>
      </c>
      <c r="J193" s="6"/>
      <c r="K193" s="6"/>
    </row>
    <row r="194" spans="1:11" x14ac:dyDescent="0.25">
      <c r="A194" s="13" t="s">
        <v>725</v>
      </c>
      <c r="B194" s="13"/>
      <c r="C194" s="13"/>
      <c r="D194" s="6"/>
      <c r="E194" s="13"/>
      <c r="F194" s="8"/>
      <c r="G194" s="8"/>
      <c r="H194" s="8" t="str">
        <f t="shared" si="5"/>
        <v/>
      </c>
      <c r="I194" s="8" t="str">
        <f t="shared" si="6"/>
        <v/>
      </c>
      <c r="J194" s="6"/>
      <c r="K194" s="6"/>
    </row>
    <row r="195" spans="1:11" x14ac:dyDescent="0.25">
      <c r="A195" s="13" t="s">
        <v>726</v>
      </c>
      <c r="B195" s="13"/>
      <c r="C195" s="13"/>
      <c r="D195" s="6"/>
      <c r="E195" s="13"/>
      <c r="F195" s="8"/>
      <c r="G195" s="8"/>
      <c r="H195" s="8" t="str">
        <f t="shared" si="5"/>
        <v/>
      </c>
      <c r="I195" s="8" t="str">
        <f t="shared" si="6"/>
        <v/>
      </c>
      <c r="J195" s="6"/>
      <c r="K195" s="6"/>
    </row>
    <row r="196" spans="1:11" x14ac:dyDescent="0.25">
      <c r="A196" s="13" t="s">
        <v>727</v>
      </c>
      <c r="B196" s="13"/>
      <c r="C196" s="13"/>
      <c r="D196" s="6"/>
      <c r="E196" s="13"/>
      <c r="F196" s="8"/>
      <c r="G196" s="8"/>
      <c r="H196" s="8" t="str">
        <f t="shared" si="5"/>
        <v/>
      </c>
      <c r="I196" s="8" t="str">
        <f t="shared" si="6"/>
        <v/>
      </c>
      <c r="J196" s="6"/>
      <c r="K196" s="6"/>
    </row>
    <row r="197" spans="1:11" x14ac:dyDescent="0.25">
      <c r="A197" s="13" t="s">
        <v>728</v>
      </c>
      <c r="B197" s="13"/>
      <c r="C197" s="13"/>
      <c r="D197" s="6"/>
      <c r="E197" s="13"/>
      <c r="F197" s="8"/>
      <c r="G197" s="8"/>
      <c r="H197" s="8" t="str">
        <f t="shared" ref="H197:H260" si="7">IF(AND(ISNUMBER(F197),ISNUMBER(G197),F197&gt;0,G197&gt;0), ROUND(F197*G197, 2), "")</f>
        <v/>
      </c>
      <c r="I197" s="8" t="str">
        <f t="shared" si="6"/>
        <v/>
      </c>
      <c r="J197" s="6"/>
      <c r="K197" s="6"/>
    </row>
    <row r="198" spans="1:11" x14ac:dyDescent="0.25">
      <c r="A198" s="13" t="s">
        <v>729</v>
      </c>
      <c r="B198" s="13"/>
      <c r="C198" s="13"/>
      <c r="D198" s="6"/>
      <c r="E198" s="13"/>
      <c r="F198" s="8"/>
      <c r="G198" s="8"/>
      <c r="H198" s="8" t="str">
        <f t="shared" si="7"/>
        <v/>
      </c>
      <c r="I198" s="8" t="str">
        <f t="shared" si="6"/>
        <v/>
      </c>
      <c r="J198" s="6"/>
      <c r="K198" s="6"/>
    </row>
    <row r="199" spans="1:11" x14ac:dyDescent="0.25">
      <c r="A199" s="13" t="s">
        <v>730</v>
      </c>
      <c r="B199" s="13"/>
      <c r="C199" s="13"/>
      <c r="D199" s="6"/>
      <c r="E199" s="13"/>
      <c r="F199" s="8"/>
      <c r="G199" s="8"/>
      <c r="H199" s="8" t="str">
        <f t="shared" si="7"/>
        <v/>
      </c>
      <c r="I199" s="8" t="str">
        <f t="shared" si="6"/>
        <v/>
      </c>
      <c r="J199" s="6"/>
      <c r="K199" s="6"/>
    </row>
    <row r="200" spans="1:11" x14ac:dyDescent="0.25">
      <c r="A200" s="13" t="s">
        <v>731</v>
      </c>
      <c r="B200" s="13"/>
      <c r="C200" s="13"/>
      <c r="D200" s="6"/>
      <c r="E200" s="13"/>
      <c r="F200" s="8"/>
      <c r="G200" s="8"/>
      <c r="H200" s="8" t="str">
        <f t="shared" si="7"/>
        <v/>
      </c>
      <c r="I200" s="8" t="str">
        <f t="shared" si="6"/>
        <v/>
      </c>
      <c r="J200" s="6"/>
      <c r="K200" s="6"/>
    </row>
    <row r="201" spans="1:11" x14ac:dyDescent="0.25">
      <c r="A201" s="13" t="s">
        <v>732</v>
      </c>
      <c r="B201" s="13"/>
      <c r="C201" s="13"/>
      <c r="D201" s="6"/>
      <c r="E201" s="13"/>
      <c r="F201" s="8"/>
      <c r="G201" s="8"/>
      <c r="H201" s="8" t="str">
        <f t="shared" si="7"/>
        <v/>
      </c>
      <c r="I201" s="8" t="str">
        <f t="shared" si="6"/>
        <v/>
      </c>
      <c r="J201" s="6"/>
      <c r="K201" s="6"/>
    </row>
    <row r="202" spans="1:11" x14ac:dyDescent="0.25">
      <c r="A202" s="13" t="s">
        <v>733</v>
      </c>
      <c r="B202" s="13"/>
      <c r="C202" s="13"/>
      <c r="D202" s="6"/>
      <c r="E202" s="13"/>
      <c r="F202" s="8"/>
      <c r="G202" s="8"/>
      <c r="H202" s="8" t="str">
        <f t="shared" si="7"/>
        <v/>
      </c>
      <c r="I202" s="8" t="str">
        <f t="shared" si="6"/>
        <v/>
      </c>
      <c r="J202" s="6"/>
      <c r="K202" s="6"/>
    </row>
    <row r="203" spans="1:11" x14ac:dyDescent="0.25">
      <c r="A203" s="13" t="s">
        <v>734</v>
      </c>
      <c r="B203" s="13"/>
      <c r="C203" s="13"/>
      <c r="D203" s="6"/>
      <c r="E203" s="13"/>
      <c r="F203" s="8"/>
      <c r="G203" s="8"/>
      <c r="H203" s="8" t="str">
        <f t="shared" si="7"/>
        <v/>
      </c>
      <c r="I203" s="8" t="str">
        <f t="shared" si="6"/>
        <v/>
      </c>
      <c r="J203" s="6"/>
      <c r="K203" s="6"/>
    </row>
    <row r="204" spans="1:11" x14ac:dyDescent="0.25">
      <c r="A204" s="13" t="s">
        <v>735</v>
      </c>
      <c r="B204" s="13"/>
      <c r="C204" s="13"/>
      <c r="D204" s="6"/>
      <c r="E204" s="13"/>
      <c r="F204" s="8"/>
      <c r="G204" s="8"/>
      <c r="H204" s="8" t="str">
        <f t="shared" si="7"/>
        <v/>
      </c>
      <c r="I204" s="8" t="str">
        <f t="shared" ref="I204:I267" si="8">IF(OR(H204="",H204=0), "", IF(ISNUMBER(I203), I203+H204, H204))</f>
        <v/>
      </c>
      <c r="J204" s="6"/>
      <c r="K204" s="6"/>
    </row>
    <row r="205" spans="1:11" x14ac:dyDescent="0.25">
      <c r="A205" s="13" t="s">
        <v>736</v>
      </c>
      <c r="B205" s="13"/>
      <c r="C205" s="13"/>
      <c r="D205" s="6"/>
      <c r="E205" s="13"/>
      <c r="F205" s="8"/>
      <c r="G205" s="8"/>
      <c r="H205" s="8" t="str">
        <f t="shared" si="7"/>
        <v/>
      </c>
      <c r="I205" s="8" t="str">
        <f t="shared" si="8"/>
        <v/>
      </c>
      <c r="J205" s="6"/>
      <c r="K205" s="6"/>
    </row>
    <row r="206" spans="1:11" x14ac:dyDescent="0.25">
      <c r="A206" s="13" t="s">
        <v>737</v>
      </c>
      <c r="B206" s="13"/>
      <c r="C206" s="13"/>
      <c r="D206" s="6"/>
      <c r="E206" s="13"/>
      <c r="F206" s="8"/>
      <c r="G206" s="8"/>
      <c r="H206" s="8" t="str">
        <f t="shared" si="7"/>
        <v/>
      </c>
      <c r="I206" s="8" t="str">
        <f t="shared" si="8"/>
        <v/>
      </c>
      <c r="J206" s="6"/>
      <c r="K206" s="6"/>
    </row>
    <row r="207" spans="1:11" x14ac:dyDescent="0.25">
      <c r="A207" s="13" t="s">
        <v>738</v>
      </c>
      <c r="B207" s="13"/>
      <c r="C207" s="13"/>
      <c r="D207" s="6"/>
      <c r="E207" s="13"/>
      <c r="F207" s="8"/>
      <c r="G207" s="8"/>
      <c r="H207" s="8" t="str">
        <f t="shared" si="7"/>
        <v/>
      </c>
      <c r="I207" s="8" t="str">
        <f t="shared" si="8"/>
        <v/>
      </c>
      <c r="J207" s="6"/>
      <c r="K207" s="6"/>
    </row>
    <row r="208" spans="1:11" x14ac:dyDescent="0.25">
      <c r="A208" s="13" t="s">
        <v>739</v>
      </c>
      <c r="B208" s="13"/>
      <c r="C208" s="13"/>
      <c r="D208" s="6"/>
      <c r="E208" s="13"/>
      <c r="F208" s="8"/>
      <c r="G208" s="8"/>
      <c r="H208" s="8" t="str">
        <f t="shared" si="7"/>
        <v/>
      </c>
      <c r="I208" s="8" t="str">
        <f t="shared" si="8"/>
        <v/>
      </c>
      <c r="J208" s="6"/>
      <c r="K208" s="6"/>
    </row>
    <row r="209" spans="1:11" x14ac:dyDescent="0.25">
      <c r="A209" s="13" t="s">
        <v>740</v>
      </c>
      <c r="B209" s="13"/>
      <c r="C209" s="13"/>
      <c r="D209" s="6"/>
      <c r="E209" s="13"/>
      <c r="F209" s="8"/>
      <c r="G209" s="8"/>
      <c r="H209" s="8" t="str">
        <f t="shared" si="7"/>
        <v/>
      </c>
      <c r="I209" s="8" t="str">
        <f t="shared" si="8"/>
        <v/>
      </c>
      <c r="J209" s="6"/>
      <c r="K209" s="6"/>
    </row>
    <row r="210" spans="1:11" x14ac:dyDescent="0.25">
      <c r="A210" s="13" t="s">
        <v>741</v>
      </c>
      <c r="B210" s="13"/>
      <c r="C210" s="13"/>
      <c r="D210" s="6"/>
      <c r="E210" s="13"/>
      <c r="F210" s="8"/>
      <c r="G210" s="8"/>
      <c r="H210" s="8" t="str">
        <f t="shared" si="7"/>
        <v/>
      </c>
      <c r="I210" s="8" t="str">
        <f t="shared" si="8"/>
        <v/>
      </c>
      <c r="J210" s="6"/>
      <c r="K210" s="6"/>
    </row>
    <row r="211" spans="1:11" x14ac:dyDescent="0.25">
      <c r="A211" s="13" t="s">
        <v>742</v>
      </c>
      <c r="B211" s="13"/>
      <c r="C211" s="13"/>
      <c r="D211" s="6"/>
      <c r="E211" s="13"/>
      <c r="F211" s="8"/>
      <c r="G211" s="8"/>
      <c r="H211" s="8" t="str">
        <f t="shared" si="7"/>
        <v/>
      </c>
      <c r="I211" s="8" t="str">
        <f t="shared" si="8"/>
        <v/>
      </c>
      <c r="J211" s="6"/>
      <c r="K211" s="6"/>
    </row>
    <row r="212" spans="1:11" x14ac:dyDescent="0.25">
      <c r="A212" s="13" t="s">
        <v>743</v>
      </c>
      <c r="B212" s="13"/>
      <c r="C212" s="13"/>
      <c r="D212" s="6"/>
      <c r="E212" s="13"/>
      <c r="F212" s="8"/>
      <c r="G212" s="8"/>
      <c r="H212" s="8" t="str">
        <f t="shared" si="7"/>
        <v/>
      </c>
      <c r="I212" s="8" t="str">
        <f t="shared" si="8"/>
        <v/>
      </c>
      <c r="J212" s="6"/>
      <c r="K212" s="6"/>
    </row>
    <row r="213" spans="1:11" x14ac:dyDescent="0.25">
      <c r="A213" s="13" t="s">
        <v>744</v>
      </c>
      <c r="B213" s="13"/>
      <c r="C213" s="13"/>
      <c r="D213" s="6"/>
      <c r="E213" s="13"/>
      <c r="F213" s="8"/>
      <c r="G213" s="8"/>
      <c r="H213" s="8" t="str">
        <f t="shared" si="7"/>
        <v/>
      </c>
      <c r="I213" s="8" t="str">
        <f t="shared" si="8"/>
        <v/>
      </c>
      <c r="J213" s="6"/>
      <c r="K213" s="6"/>
    </row>
    <row r="214" spans="1:11" x14ac:dyDescent="0.25">
      <c r="A214" s="13" t="s">
        <v>745</v>
      </c>
      <c r="B214" s="13"/>
      <c r="C214" s="13"/>
      <c r="D214" s="6"/>
      <c r="E214" s="13"/>
      <c r="F214" s="8"/>
      <c r="G214" s="8"/>
      <c r="H214" s="8" t="str">
        <f t="shared" si="7"/>
        <v/>
      </c>
      <c r="I214" s="8" t="str">
        <f t="shared" si="8"/>
        <v/>
      </c>
      <c r="J214" s="6"/>
      <c r="K214" s="6"/>
    </row>
    <row r="215" spans="1:11" x14ac:dyDescent="0.25">
      <c r="A215" s="13" t="s">
        <v>746</v>
      </c>
      <c r="B215" s="13"/>
      <c r="C215" s="13"/>
      <c r="D215" s="6"/>
      <c r="E215" s="13"/>
      <c r="F215" s="8"/>
      <c r="G215" s="8"/>
      <c r="H215" s="8" t="str">
        <f t="shared" si="7"/>
        <v/>
      </c>
      <c r="I215" s="8" t="str">
        <f t="shared" si="8"/>
        <v/>
      </c>
      <c r="J215" s="6"/>
      <c r="K215" s="6"/>
    </row>
    <row r="216" spans="1:11" x14ac:dyDescent="0.25">
      <c r="A216" s="13" t="s">
        <v>747</v>
      </c>
      <c r="B216" s="13"/>
      <c r="C216" s="13"/>
      <c r="D216" s="6"/>
      <c r="E216" s="13"/>
      <c r="F216" s="8"/>
      <c r="G216" s="8"/>
      <c r="H216" s="8" t="str">
        <f t="shared" si="7"/>
        <v/>
      </c>
      <c r="I216" s="8" t="str">
        <f t="shared" si="8"/>
        <v/>
      </c>
      <c r="J216" s="6"/>
      <c r="K216" s="6"/>
    </row>
    <row r="217" spans="1:11" x14ac:dyDescent="0.25">
      <c r="A217" s="13" t="s">
        <v>748</v>
      </c>
      <c r="B217" s="13"/>
      <c r="C217" s="13"/>
      <c r="D217" s="6"/>
      <c r="E217" s="13"/>
      <c r="F217" s="8"/>
      <c r="G217" s="8"/>
      <c r="H217" s="8" t="str">
        <f t="shared" si="7"/>
        <v/>
      </c>
      <c r="I217" s="8" t="str">
        <f t="shared" si="8"/>
        <v/>
      </c>
      <c r="J217" s="6"/>
      <c r="K217" s="6"/>
    </row>
    <row r="218" spans="1:11" x14ac:dyDescent="0.25">
      <c r="A218" s="13" t="s">
        <v>749</v>
      </c>
      <c r="B218" s="13"/>
      <c r="C218" s="13"/>
      <c r="D218" s="6"/>
      <c r="E218" s="13"/>
      <c r="F218" s="8"/>
      <c r="G218" s="8"/>
      <c r="H218" s="8" t="str">
        <f t="shared" si="7"/>
        <v/>
      </c>
      <c r="I218" s="8" t="str">
        <f t="shared" si="8"/>
        <v/>
      </c>
      <c r="J218" s="6"/>
      <c r="K218" s="6"/>
    </row>
    <row r="219" spans="1:11" x14ac:dyDescent="0.25">
      <c r="A219" s="13" t="s">
        <v>750</v>
      </c>
      <c r="B219" s="13"/>
      <c r="C219" s="13"/>
      <c r="D219" s="6"/>
      <c r="E219" s="13"/>
      <c r="F219" s="8"/>
      <c r="G219" s="8"/>
      <c r="H219" s="8" t="str">
        <f t="shared" si="7"/>
        <v/>
      </c>
      <c r="I219" s="8" t="str">
        <f t="shared" si="8"/>
        <v/>
      </c>
      <c r="J219" s="6"/>
      <c r="K219" s="6"/>
    </row>
    <row r="220" spans="1:11" x14ac:dyDescent="0.25">
      <c r="A220" s="13" t="s">
        <v>751</v>
      </c>
      <c r="B220" s="13"/>
      <c r="C220" s="13"/>
      <c r="D220" s="6"/>
      <c r="E220" s="13"/>
      <c r="F220" s="8"/>
      <c r="G220" s="8"/>
      <c r="H220" s="8" t="str">
        <f t="shared" si="7"/>
        <v/>
      </c>
      <c r="I220" s="8" t="str">
        <f t="shared" si="8"/>
        <v/>
      </c>
      <c r="J220" s="6"/>
      <c r="K220" s="6"/>
    </row>
    <row r="221" spans="1:11" x14ac:dyDescent="0.25">
      <c r="A221" s="13" t="s">
        <v>752</v>
      </c>
      <c r="B221" s="13"/>
      <c r="C221" s="13"/>
      <c r="D221" s="6"/>
      <c r="E221" s="13"/>
      <c r="F221" s="8"/>
      <c r="G221" s="8"/>
      <c r="H221" s="8" t="str">
        <f t="shared" si="7"/>
        <v/>
      </c>
      <c r="I221" s="8" t="str">
        <f t="shared" si="8"/>
        <v/>
      </c>
      <c r="J221" s="6"/>
      <c r="K221" s="6"/>
    </row>
    <row r="222" spans="1:11" x14ac:dyDescent="0.25">
      <c r="A222" s="13" t="s">
        <v>753</v>
      </c>
      <c r="B222" s="13"/>
      <c r="C222" s="13"/>
      <c r="D222" s="6"/>
      <c r="E222" s="13"/>
      <c r="F222" s="8"/>
      <c r="G222" s="8"/>
      <c r="H222" s="8" t="str">
        <f t="shared" si="7"/>
        <v/>
      </c>
      <c r="I222" s="8" t="str">
        <f t="shared" si="8"/>
        <v/>
      </c>
      <c r="J222" s="6"/>
      <c r="K222" s="6"/>
    </row>
    <row r="223" spans="1:11" x14ac:dyDescent="0.25">
      <c r="A223" s="13" t="s">
        <v>754</v>
      </c>
      <c r="B223" s="13"/>
      <c r="C223" s="13"/>
      <c r="D223" s="6"/>
      <c r="E223" s="13"/>
      <c r="F223" s="8"/>
      <c r="G223" s="8"/>
      <c r="H223" s="8" t="str">
        <f t="shared" si="7"/>
        <v/>
      </c>
      <c r="I223" s="8" t="str">
        <f t="shared" si="8"/>
        <v/>
      </c>
      <c r="J223" s="6"/>
      <c r="K223" s="6"/>
    </row>
    <row r="224" spans="1:11" x14ac:dyDescent="0.25">
      <c r="A224" s="13" t="s">
        <v>755</v>
      </c>
      <c r="B224" s="13"/>
      <c r="C224" s="13"/>
      <c r="D224" s="6"/>
      <c r="E224" s="13"/>
      <c r="F224" s="8"/>
      <c r="G224" s="8"/>
      <c r="H224" s="8" t="str">
        <f t="shared" si="7"/>
        <v/>
      </c>
      <c r="I224" s="8" t="str">
        <f t="shared" si="8"/>
        <v/>
      </c>
      <c r="J224" s="6"/>
      <c r="K224" s="6"/>
    </row>
    <row r="225" spans="1:11" x14ac:dyDescent="0.25">
      <c r="A225" s="13" t="s">
        <v>756</v>
      </c>
      <c r="B225" s="13"/>
      <c r="C225" s="13"/>
      <c r="D225" s="6"/>
      <c r="E225" s="13"/>
      <c r="F225" s="8"/>
      <c r="G225" s="8"/>
      <c r="H225" s="8" t="str">
        <f t="shared" si="7"/>
        <v/>
      </c>
      <c r="I225" s="8" t="str">
        <f t="shared" si="8"/>
        <v/>
      </c>
      <c r="J225" s="6"/>
      <c r="K225" s="6"/>
    </row>
    <row r="226" spans="1:11" x14ac:dyDescent="0.25">
      <c r="A226" s="13" t="s">
        <v>757</v>
      </c>
      <c r="B226" s="13"/>
      <c r="C226" s="13"/>
      <c r="D226" s="6"/>
      <c r="E226" s="13"/>
      <c r="F226" s="8"/>
      <c r="G226" s="8"/>
      <c r="H226" s="8" t="str">
        <f t="shared" si="7"/>
        <v/>
      </c>
      <c r="I226" s="8" t="str">
        <f t="shared" si="8"/>
        <v/>
      </c>
      <c r="J226" s="6"/>
      <c r="K226" s="6"/>
    </row>
    <row r="227" spans="1:11" x14ac:dyDescent="0.25">
      <c r="A227" s="13" t="s">
        <v>758</v>
      </c>
      <c r="B227" s="13"/>
      <c r="C227" s="13"/>
      <c r="D227" s="6"/>
      <c r="E227" s="13"/>
      <c r="F227" s="8"/>
      <c r="G227" s="8"/>
      <c r="H227" s="8" t="str">
        <f t="shared" si="7"/>
        <v/>
      </c>
      <c r="I227" s="8" t="str">
        <f t="shared" si="8"/>
        <v/>
      </c>
      <c r="J227" s="6"/>
      <c r="K227" s="6"/>
    </row>
    <row r="228" spans="1:11" x14ac:dyDescent="0.25">
      <c r="A228" s="13" t="s">
        <v>759</v>
      </c>
      <c r="B228" s="13"/>
      <c r="C228" s="13"/>
      <c r="D228" s="6"/>
      <c r="E228" s="13"/>
      <c r="F228" s="8"/>
      <c r="G228" s="8"/>
      <c r="H228" s="8" t="str">
        <f t="shared" si="7"/>
        <v/>
      </c>
      <c r="I228" s="8" t="str">
        <f t="shared" si="8"/>
        <v/>
      </c>
      <c r="J228" s="6"/>
      <c r="K228" s="6"/>
    </row>
    <row r="229" spans="1:11" x14ac:dyDescent="0.25">
      <c r="A229" s="13" t="s">
        <v>760</v>
      </c>
      <c r="B229" s="13"/>
      <c r="C229" s="13"/>
      <c r="D229" s="6"/>
      <c r="E229" s="13"/>
      <c r="F229" s="8"/>
      <c r="G229" s="8"/>
      <c r="H229" s="8" t="str">
        <f t="shared" si="7"/>
        <v/>
      </c>
      <c r="I229" s="8" t="str">
        <f t="shared" si="8"/>
        <v/>
      </c>
      <c r="J229" s="6"/>
      <c r="K229" s="6"/>
    </row>
    <row r="230" spans="1:11" x14ac:dyDescent="0.25">
      <c r="A230" s="13" t="s">
        <v>761</v>
      </c>
      <c r="B230" s="13"/>
      <c r="C230" s="13"/>
      <c r="D230" s="6"/>
      <c r="E230" s="13"/>
      <c r="F230" s="8"/>
      <c r="G230" s="8"/>
      <c r="H230" s="8" t="str">
        <f t="shared" si="7"/>
        <v/>
      </c>
      <c r="I230" s="8" t="str">
        <f t="shared" si="8"/>
        <v/>
      </c>
      <c r="J230" s="6"/>
      <c r="K230" s="6"/>
    </row>
    <row r="231" spans="1:11" x14ac:dyDescent="0.25">
      <c r="A231" s="13" t="s">
        <v>762</v>
      </c>
      <c r="B231" s="13"/>
      <c r="C231" s="13"/>
      <c r="D231" s="6"/>
      <c r="E231" s="13"/>
      <c r="F231" s="8"/>
      <c r="G231" s="8"/>
      <c r="H231" s="8" t="str">
        <f t="shared" si="7"/>
        <v/>
      </c>
      <c r="I231" s="8" t="str">
        <f t="shared" si="8"/>
        <v/>
      </c>
      <c r="J231" s="6"/>
      <c r="K231" s="6"/>
    </row>
    <row r="232" spans="1:11" x14ac:dyDescent="0.25">
      <c r="A232" s="13" t="s">
        <v>763</v>
      </c>
      <c r="B232" s="13"/>
      <c r="C232" s="13"/>
      <c r="D232" s="6"/>
      <c r="E232" s="13"/>
      <c r="F232" s="8"/>
      <c r="G232" s="8"/>
      <c r="H232" s="8" t="str">
        <f t="shared" si="7"/>
        <v/>
      </c>
      <c r="I232" s="8" t="str">
        <f t="shared" si="8"/>
        <v/>
      </c>
      <c r="J232" s="6"/>
      <c r="K232" s="6"/>
    </row>
    <row r="233" spans="1:11" x14ac:dyDescent="0.25">
      <c r="A233" s="13" t="s">
        <v>764</v>
      </c>
      <c r="B233" s="13"/>
      <c r="C233" s="13"/>
      <c r="D233" s="6"/>
      <c r="E233" s="13"/>
      <c r="F233" s="8"/>
      <c r="G233" s="8"/>
      <c r="H233" s="8" t="str">
        <f t="shared" si="7"/>
        <v/>
      </c>
      <c r="I233" s="8" t="str">
        <f t="shared" si="8"/>
        <v/>
      </c>
      <c r="J233" s="6"/>
      <c r="K233" s="6"/>
    </row>
    <row r="234" spans="1:11" x14ac:dyDescent="0.25">
      <c r="A234" s="13" t="s">
        <v>765</v>
      </c>
      <c r="B234" s="13"/>
      <c r="C234" s="13"/>
      <c r="D234" s="6"/>
      <c r="E234" s="13"/>
      <c r="F234" s="8"/>
      <c r="G234" s="8"/>
      <c r="H234" s="8" t="str">
        <f t="shared" si="7"/>
        <v/>
      </c>
      <c r="I234" s="8" t="str">
        <f t="shared" si="8"/>
        <v/>
      </c>
      <c r="J234" s="6"/>
      <c r="K234" s="6"/>
    </row>
    <row r="235" spans="1:11" x14ac:dyDescent="0.25">
      <c r="A235" s="13" t="s">
        <v>766</v>
      </c>
      <c r="B235" s="13"/>
      <c r="C235" s="13"/>
      <c r="D235" s="6"/>
      <c r="E235" s="13"/>
      <c r="F235" s="8"/>
      <c r="G235" s="8"/>
      <c r="H235" s="8" t="str">
        <f t="shared" si="7"/>
        <v/>
      </c>
      <c r="I235" s="8" t="str">
        <f t="shared" si="8"/>
        <v/>
      </c>
      <c r="J235" s="6"/>
      <c r="K235" s="6"/>
    </row>
    <row r="236" spans="1:11" x14ac:dyDescent="0.25">
      <c r="A236" s="13" t="s">
        <v>767</v>
      </c>
      <c r="B236" s="13"/>
      <c r="C236" s="13"/>
      <c r="D236" s="6"/>
      <c r="E236" s="13"/>
      <c r="F236" s="8"/>
      <c r="G236" s="8"/>
      <c r="H236" s="8" t="str">
        <f t="shared" si="7"/>
        <v/>
      </c>
      <c r="I236" s="8" t="str">
        <f t="shared" si="8"/>
        <v/>
      </c>
      <c r="J236" s="6"/>
      <c r="K236" s="6"/>
    </row>
    <row r="237" spans="1:11" x14ac:dyDescent="0.25">
      <c r="A237" s="13" t="s">
        <v>768</v>
      </c>
      <c r="B237" s="13"/>
      <c r="C237" s="13"/>
      <c r="D237" s="6"/>
      <c r="E237" s="13"/>
      <c r="F237" s="8"/>
      <c r="G237" s="8"/>
      <c r="H237" s="8" t="str">
        <f t="shared" si="7"/>
        <v/>
      </c>
      <c r="I237" s="8" t="str">
        <f t="shared" si="8"/>
        <v/>
      </c>
      <c r="J237" s="6"/>
      <c r="K237" s="6"/>
    </row>
    <row r="238" spans="1:11" x14ac:dyDescent="0.25">
      <c r="A238" s="13" t="s">
        <v>769</v>
      </c>
      <c r="B238" s="13"/>
      <c r="C238" s="13"/>
      <c r="D238" s="6"/>
      <c r="E238" s="13"/>
      <c r="F238" s="8"/>
      <c r="G238" s="8"/>
      <c r="H238" s="8" t="str">
        <f t="shared" si="7"/>
        <v/>
      </c>
      <c r="I238" s="8" t="str">
        <f t="shared" si="8"/>
        <v/>
      </c>
      <c r="J238" s="6"/>
      <c r="K238" s="6"/>
    </row>
    <row r="239" spans="1:11" x14ac:dyDescent="0.25">
      <c r="A239" s="13" t="s">
        <v>770</v>
      </c>
      <c r="B239" s="13"/>
      <c r="C239" s="13"/>
      <c r="D239" s="6"/>
      <c r="E239" s="13"/>
      <c r="F239" s="8"/>
      <c r="G239" s="8"/>
      <c r="H239" s="8" t="str">
        <f t="shared" si="7"/>
        <v/>
      </c>
      <c r="I239" s="8" t="str">
        <f t="shared" si="8"/>
        <v/>
      </c>
      <c r="J239" s="6"/>
      <c r="K239" s="6"/>
    </row>
    <row r="240" spans="1:11" x14ac:dyDescent="0.25">
      <c r="A240" s="13" t="s">
        <v>771</v>
      </c>
      <c r="B240" s="13"/>
      <c r="C240" s="13"/>
      <c r="D240" s="6"/>
      <c r="E240" s="13"/>
      <c r="F240" s="8"/>
      <c r="G240" s="8"/>
      <c r="H240" s="8" t="str">
        <f t="shared" si="7"/>
        <v/>
      </c>
      <c r="I240" s="8" t="str">
        <f t="shared" si="8"/>
        <v/>
      </c>
      <c r="J240" s="6"/>
      <c r="K240" s="6"/>
    </row>
    <row r="241" spans="1:11" x14ac:dyDescent="0.25">
      <c r="A241" s="13" t="s">
        <v>772</v>
      </c>
      <c r="B241" s="13"/>
      <c r="C241" s="13"/>
      <c r="D241" s="6"/>
      <c r="E241" s="13"/>
      <c r="F241" s="8"/>
      <c r="G241" s="8"/>
      <c r="H241" s="8" t="str">
        <f t="shared" si="7"/>
        <v/>
      </c>
      <c r="I241" s="8" t="str">
        <f t="shared" si="8"/>
        <v/>
      </c>
      <c r="J241" s="6"/>
      <c r="K241" s="6"/>
    </row>
    <row r="242" spans="1:11" x14ac:dyDescent="0.25">
      <c r="A242" s="13" t="s">
        <v>773</v>
      </c>
      <c r="B242" s="13"/>
      <c r="C242" s="13"/>
      <c r="D242" s="6"/>
      <c r="E242" s="13"/>
      <c r="F242" s="8"/>
      <c r="G242" s="8"/>
      <c r="H242" s="8" t="str">
        <f t="shared" si="7"/>
        <v/>
      </c>
      <c r="I242" s="8" t="str">
        <f t="shared" si="8"/>
        <v/>
      </c>
      <c r="J242" s="6"/>
      <c r="K242" s="6"/>
    </row>
    <row r="243" spans="1:11" x14ac:dyDescent="0.25">
      <c r="A243" s="13" t="s">
        <v>774</v>
      </c>
      <c r="B243" s="13"/>
      <c r="C243" s="13"/>
      <c r="D243" s="6"/>
      <c r="E243" s="13"/>
      <c r="F243" s="8"/>
      <c r="G243" s="8"/>
      <c r="H243" s="8" t="str">
        <f t="shared" si="7"/>
        <v/>
      </c>
      <c r="I243" s="8" t="str">
        <f t="shared" si="8"/>
        <v/>
      </c>
      <c r="J243" s="6"/>
      <c r="K243" s="6"/>
    </row>
    <row r="244" spans="1:11" x14ac:dyDescent="0.25">
      <c r="A244" s="13" t="s">
        <v>775</v>
      </c>
      <c r="B244" s="13"/>
      <c r="C244" s="13"/>
      <c r="D244" s="6"/>
      <c r="E244" s="13"/>
      <c r="F244" s="8"/>
      <c r="G244" s="8"/>
      <c r="H244" s="8" t="str">
        <f t="shared" si="7"/>
        <v/>
      </c>
      <c r="I244" s="8" t="str">
        <f t="shared" si="8"/>
        <v/>
      </c>
      <c r="J244" s="6"/>
      <c r="K244" s="6"/>
    </row>
    <row r="245" spans="1:11" x14ac:dyDescent="0.25">
      <c r="A245" s="13" t="s">
        <v>776</v>
      </c>
      <c r="B245" s="13"/>
      <c r="C245" s="13"/>
      <c r="D245" s="6"/>
      <c r="E245" s="13"/>
      <c r="F245" s="8"/>
      <c r="G245" s="8"/>
      <c r="H245" s="8" t="str">
        <f t="shared" si="7"/>
        <v/>
      </c>
      <c r="I245" s="8" t="str">
        <f t="shared" si="8"/>
        <v/>
      </c>
      <c r="J245" s="6"/>
      <c r="K245" s="6"/>
    </row>
    <row r="246" spans="1:11" x14ac:dyDescent="0.25">
      <c r="A246" s="13" t="s">
        <v>777</v>
      </c>
      <c r="B246" s="13"/>
      <c r="C246" s="13"/>
      <c r="D246" s="6"/>
      <c r="E246" s="13"/>
      <c r="F246" s="8"/>
      <c r="G246" s="8"/>
      <c r="H246" s="8" t="str">
        <f t="shared" si="7"/>
        <v/>
      </c>
      <c r="I246" s="8" t="str">
        <f t="shared" si="8"/>
        <v/>
      </c>
      <c r="J246" s="6"/>
      <c r="K246" s="6"/>
    </row>
    <row r="247" spans="1:11" x14ac:dyDescent="0.25">
      <c r="A247" s="13" t="s">
        <v>778</v>
      </c>
      <c r="B247" s="13"/>
      <c r="C247" s="13"/>
      <c r="D247" s="6"/>
      <c r="E247" s="13"/>
      <c r="F247" s="8"/>
      <c r="G247" s="8"/>
      <c r="H247" s="8" t="str">
        <f t="shared" si="7"/>
        <v/>
      </c>
      <c r="I247" s="8" t="str">
        <f t="shared" si="8"/>
        <v/>
      </c>
      <c r="J247" s="6"/>
      <c r="K247" s="6"/>
    </row>
    <row r="248" spans="1:11" x14ac:dyDescent="0.25">
      <c r="A248" s="13" t="s">
        <v>779</v>
      </c>
      <c r="B248" s="13"/>
      <c r="C248" s="13"/>
      <c r="D248" s="6"/>
      <c r="E248" s="13"/>
      <c r="F248" s="8"/>
      <c r="G248" s="8"/>
      <c r="H248" s="8" t="str">
        <f t="shared" si="7"/>
        <v/>
      </c>
      <c r="I248" s="8" t="str">
        <f t="shared" si="8"/>
        <v/>
      </c>
      <c r="J248" s="6"/>
      <c r="K248" s="6"/>
    </row>
    <row r="249" spans="1:11" x14ac:dyDescent="0.25">
      <c r="A249" s="13" t="s">
        <v>780</v>
      </c>
      <c r="B249" s="13"/>
      <c r="C249" s="13"/>
      <c r="D249" s="6"/>
      <c r="E249" s="13"/>
      <c r="F249" s="8"/>
      <c r="G249" s="8"/>
      <c r="H249" s="8" t="str">
        <f t="shared" si="7"/>
        <v/>
      </c>
      <c r="I249" s="8" t="str">
        <f t="shared" si="8"/>
        <v/>
      </c>
      <c r="J249" s="6"/>
      <c r="K249" s="6"/>
    </row>
    <row r="250" spans="1:11" x14ac:dyDescent="0.25">
      <c r="A250" s="13" t="s">
        <v>781</v>
      </c>
      <c r="B250" s="13"/>
      <c r="C250" s="13"/>
      <c r="D250" s="6"/>
      <c r="E250" s="13"/>
      <c r="F250" s="8"/>
      <c r="G250" s="8"/>
      <c r="H250" s="8" t="str">
        <f t="shared" si="7"/>
        <v/>
      </c>
      <c r="I250" s="8" t="str">
        <f t="shared" si="8"/>
        <v/>
      </c>
      <c r="J250" s="6"/>
      <c r="K250" s="6"/>
    </row>
    <row r="251" spans="1:11" x14ac:dyDescent="0.25">
      <c r="A251" s="13" t="s">
        <v>782</v>
      </c>
      <c r="B251" s="13"/>
      <c r="C251" s="13"/>
      <c r="D251" s="6"/>
      <c r="E251" s="13"/>
      <c r="F251" s="8"/>
      <c r="G251" s="8"/>
      <c r="H251" s="8" t="str">
        <f t="shared" si="7"/>
        <v/>
      </c>
      <c r="I251" s="8" t="str">
        <f t="shared" si="8"/>
        <v/>
      </c>
      <c r="J251" s="6"/>
      <c r="K251" s="6"/>
    </row>
    <row r="252" spans="1:11" x14ac:dyDescent="0.25">
      <c r="A252" s="13" t="s">
        <v>783</v>
      </c>
      <c r="B252" s="13"/>
      <c r="C252" s="13"/>
      <c r="D252" s="6"/>
      <c r="E252" s="13"/>
      <c r="F252" s="8"/>
      <c r="G252" s="8"/>
      <c r="H252" s="8" t="str">
        <f t="shared" si="7"/>
        <v/>
      </c>
      <c r="I252" s="8" t="str">
        <f t="shared" si="8"/>
        <v/>
      </c>
      <c r="J252" s="6"/>
      <c r="K252" s="6"/>
    </row>
    <row r="253" spans="1:11" x14ac:dyDescent="0.25">
      <c r="A253" s="13" t="s">
        <v>784</v>
      </c>
      <c r="B253" s="13"/>
      <c r="C253" s="13"/>
      <c r="D253" s="6"/>
      <c r="E253" s="13"/>
      <c r="F253" s="8"/>
      <c r="G253" s="8"/>
      <c r="H253" s="8" t="str">
        <f t="shared" si="7"/>
        <v/>
      </c>
      <c r="I253" s="8" t="str">
        <f t="shared" si="8"/>
        <v/>
      </c>
      <c r="J253" s="6"/>
      <c r="K253" s="6"/>
    </row>
    <row r="254" spans="1:11" x14ac:dyDescent="0.25">
      <c r="A254" s="13" t="s">
        <v>785</v>
      </c>
      <c r="B254" s="13"/>
      <c r="C254" s="13"/>
      <c r="D254" s="6"/>
      <c r="E254" s="13"/>
      <c r="F254" s="8"/>
      <c r="G254" s="8"/>
      <c r="H254" s="8" t="str">
        <f t="shared" si="7"/>
        <v/>
      </c>
      <c r="I254" s="8" t="str">
        <f t="shared" si="8"/>
        <v/>
      </c>
      <c r="J254" s="6"/>
      <c r="K254" s="6"/>
    </row>
    <row r="255" spans="1:11" x14ac:dyDescent="0.25">
      <c r="A255" s="13" t="s">
        <v>786</v>
      </c>
      <c r="B255" s="13"/>
      <c r="C255" s="13"/>
      <c r="D255" s="6"/>
      <c r="E255" s="13"/>
      <c r="F255" s="8"/>
      <c r="G255" s="8"/>
      <c r="H255" s="8" t="str">
        <f t="shared" si="7"/>
        <v/>
      </c>
      <c r="I255" s="8" t="str">
        <f t="shared" si="8"/>
        <v/>
      </c>
      <c r="J255" s="6"/>
      <c r="K255" s="6"/>
    </row>
    <row r="256" spans="1:11" x14ac:dyDescent="0.25">
      <c r="A256" s="13" t="s">
        <v>787</v>
      </c>
      <c r="B256" s="13"/>
      <c r="C256" s="13"/>
      <c r="D256" s="6"/>
      <c r="E256" s="13"/>
      <c r="F256" s="8"/>
      <c r="G256" s="8"/>
      <c r="H256" s="8" t="str">
        <f t="shared" si="7"/>
        <v/>
      </c>
      <c r="I256" s="8" t="str">
        <f t="shared" si="8"/>
        <v/>
      </c>
      <c r="J256" s="6"/>
      <c r="K256" s="6"/>
    </row>
    <row r="257" spans="1:11" x14ac:dyDescent="0.25">
      <c r="A257" s="13" t="s">
        <v>788</v>
      </c>
      <c r="B257" s="13"/>
      <c r="C257" s="13"/>
      <c r="D257" s="6"/>
      <c r="E257" s="13"/>
      <c r="F257" s="8"/>
      <c r="G257" s="8"/>
      <c r="H257" s="8" t="str">
        <f t="shared" si="7"/>
        <v/>
      </c>
      <c r="I257" s="8" t="str">
        <f t="shared" si="8"/>
        <v/>
      </c>
      <c r="J257" s="6"/>
      <c r="K257" s="6"/>
    </row>
    <row r="258" spans="1:11" x14ac:dyDescent="0.25">
      <c r="A258" s="13" t="s">
        <v>789</v>
      </c>
      <c r="B258" s="13"/>
      <c r="C258" s="13"/>
      <c r="D258" s="6"/>
      <c r="E258" s="13"/>
      <c r="F258" s="8"/>
      <c r="G258" s="8"/>
      <c r="H258" s="8" t="str">
        <f t="shared" si="7"/>
        <v/>
      </c>
      <c r="I258" s="8" t="str">
        <f t="shared" si="8"/>
        <v/>
      </c>
      <c r="J258" s="6"/>
      <c r="K258" s="6"/>
    </row>
    <row r="259" spans="1:11" x14ac:dyDescent="0.25">
      <c r="A259" s="13" t="s">
        <v>790</v>
      </c>
      <c r="B259" s="13"/>
      <c r="C259" s="13"/>
      <c r="D259" s="6"/>
      <c r="E259" s="13"/>
      <c r="F259" s="8"/>
      <c r="G259" s="8"/>
      <c r="H259" s="8" t="str">
        <f t="shared" si="7"/>
        <v/>
      </c>
      <c r="I259" s="8" t="str">
        <f t="shared" si="8"/>
        <v/>
      </c>
      <c r="J259" s="6"/>
      <c r="K259" s="6"/>
    </row>
    <row r="260" spans="1:11" x14ac:dyDescent="0.25">
      <c r="A260" s="13" t="s">
        <v>791</v>
      </c>
      <c r="B260" s="13"/>
      <c r="C260" s="13"/>
      <c r="D260" s="6"/>
      <c r="E260" s="13"/>
      <c r="F260" s="8"/>
      <c r="G260" s="8"/>
      <c r="H260" s="8" t="str">
        <f t="shared" si="7"/>
        <v/>
      </c>
      <c r="I260" s="8" t="str">
        <f t="shared" si="8"/>
        <v/>
      </c>
      <c r="J260" s="6"/>
      <c r="K260" s="6"/>
    </row>
    <row r="261" spans="1:11" x14ac:dyDescent="0.25">
      <c r="A261" s="13" t="s">
        <v>792</v>
      </c>
      <c r="B261" s="13"/>
      <c r="C261" s="13"/>
      <c r="D261" s="6"/>
      <c r="E261" s="13"/>
      <c r="F261" s="8"/>
      <c r="G261" s="8"/>
      <c r="H261" s="8" t="str">
        <f t="shared" ref="H261:H324" si="9">IF(AND(ISNUMBER(F261),ISNUMBER(G261),F261&gt;0,G261&gt;0), ROUND(F261*G261, 2), "")</f>
        <v/>
      </c>
      <c r="I261" s="8" t="str">
        <f t="shared" si="8"/>
        <v/>
      </c>
      <c r="J261" s="6"/>
      <c r="K261" s="6"/>
    </row>
    <row r="262" spans="1:11" x14ac:dyDescent="0.25">
      <c r="A262" s="13" t="s">
        <v>793</v>
      </c>
      <c r="B262" s="13"/>
      <c r="C262" s="13"/>
      <c r="D262" s="6"/>
      <c r="E262" s="13"/>
      <c r="F262" s="8"/>
      <c r="G262" s="8"/>
      <c r="H262" s="8" t="str">
        <f t="shared" si="9"/>
        <v/>
      </c>
      <c r="I262" s="8" t="str">
        <f t="shared" si="8"/>
        <v/>
      </c>
      <c r="J262" s="6"/>
      <c r="K262" s="6"/>
    </row>
    <row r="263" spans="1:11" x14ac:dyDescent="0.25">
      <c r="A263" s="13" t="s">
        <v>794</v>
      </c>
      <c r="B263" s="13"/>
      <c r="C263" s="13"/>
      <c r="D263" s="6"/>
      <c r="E263" s="13"/>
      <c r="F263" s="8"/>
      <c r="G263" s="8"/>
      <c r="H263" s="8" t="str">
        <f t="shared" si="9"/>
        <v/>
      </c>
      <c r="I263" s="8" t="str">
        <f t="shared" si="8"/>
        <v/>
      </c>
      <c r="J263" s="6"/>
      <c r="K263" s="6"/>
    </row>
    <row r="264" spans="1:11" x14ac:dyDescent="0.25">
      <c r="A264" s="13" t="s">
        <v>795</v>
      </c>
      <c r="B264" s="13"/>
      <c r="C264" s="13"/>
      <c r="D264" s="6"/>
      <c r="E264" s="13"/>
      <c r="F264" s="8"/>
      <c r="G264" s="8"/>
      <c r="H264" s="8" t="str">
        <f t="shared" si="9"/>
        <v/>
      </c>
      <c r="I264" s="8" t="str">
        <f t="shared" si="8"/>
        <v/>
      </c>
      <c r="J264" s="6"/>
      <c r="K264" s="6"/>
    </row>
    <row r="265" spans="1:11" x14ac:dyDescent="0.25">
      <c r="A265" s="13" t="s">
        <v>796</v>
      </c>
      <c r="B265" s="13"/>
      <c r="C265" s="13"/>
      <c r="D265" s="6"/>
      <c r="E265" s="13"/>
      <c r="F265" s="8"/>
      <c r="G265" s="8"/>
      <c r="H265" s="8" t="str">
        <f t="shared" si="9"/>
        <v/>
      </c>
      <c r="I265" s="8" t="str">
        <f t="shared" si="8"/>
        <v/>
      </c>
      <c r="J265" s="6"/>
      <c r="K265" s="6"/>
    </row>
    <row r="266" spans="1:11" x14ac:dyDescent="0.25">
      <c r="A266" s="13" t="s">
        <v>797</v>
      </c>
      <c r="B266" s="13"/>
      <c r="C266" s="13"/>
      <c r="D266" s="6"/>
      <c r="E266" s="13"/>
      <c r="F266" s="8"/>
      <c r="G266" s="8"/>
      <c r="H266" s="8" t="str">
        <f t="shared" si="9"/>
        <v/>
      </c>
      <c r="I266" s="8" t="str">
        <f t="shared" si="8"/>
        <v/>
      </c>
      <c r="J266" s="6"/>
      <c r="K266" s="6"/>
    </row>
    <row r="267" spans="1:11" x14ac:dyDescent="0.25">
      <c r="A267" s="13" t="s">
        <v>798</v>
      </c>
      <c r="B267" s="13"/>
      <c r="C267" s="13"/>
      <c r="D267" s="6"/>
      <c r="E267" s="13"/>
      <c r="F267" s="8"/>
      <c r="G267" s="8"/>
      <c r="H267" s="8" t="str">
        <f t="shared" si="9"/>
        <v/>
      </c>
      <c r="I267" s="8" t="str">
        <f t="shared" si="8"/>
        <v/>
      </c>
      <c r="J267" s="6"/>
      <c r="K267" s="6"/>
    </row>
    <row r="268" spans="1:11" x14ac:dyDescent="0.25">
      <c r="A268" s="13" t="s">
        <v>799</v>
      </c>
      <c r="B268" s="13"/>
      <c r="C268" s="13"/>
      <c r="D268" s="6"/>
      <c r="E268" s="13"/>
      <c r="F268" s="8"/>
      <c r="G268" s="8"/>
      <c r="H268" s="8" t="str">
        <f t="shared" si="9"/>
        <v/>
      </c>
      <c r="I268" s="8" t="str">
        <f t="shared" ref="I268:I331" si="10">IF(OR(H268="",H268=0), "", IF(ISNUMBER(I267), I267+H268, H268))</f>
        <v/>
      </c>
      <c r="J268" s="6"/>
      <c r="K268" s="6"/>
    </row>
    <row r="269" spans="1:11" x14ac:dyDescent="0.25">
      <c r="A269" s="13" t="s">
        <v>800</v>
      </c>
      <c r="B269" s="13"/>
      <c r="C269" s="13"/>
      <c r="D269" s="6"/>
      <c r="E269" s="13"/>
      <c r="F269" s="8"/>
      <c r="G269" s="8"/>
      <c r="H269" s="8" t="str">
        <f t="shared" si="9"/>
        <v/>
      </c>
      <c r="I269" s="8" t="str">
        <f t="shared" si="10"/>
        <v/>
      </c>
      <c r="J269" s="6"/>
      <c r="K269" s="6"/>
    </row>
    <row r="270" spans="1:11" x14ac:dyDescent="0.25">
      <c r="A270" s="13" t="s">
        <v>801</v>
      </c>
      <c r="B270" s="13"/>
      <c r="C270" s="13"/>
      <c r="D270" s="6"/>
      <c r="E270" s="13"/>
      <c r="F270" s="8"/>
      <c r="G270" s="8"/>
      <c r="H270" s="8" t="str">
        <f t="shared" si="9"/>
        <v/>
      </c>
      <c r="I270" s="8" t="str">
        <f t="shared" si="10"/>
        <v/>
      </c>
      <c r="J270" s="6"/>
      <c r="K270" s="6"/>
    </row>
    <row r="271" spans="1:11" x14ac:dyDescent="0.25">
      <c r="A271" s="13" t="s">
        <v>802</v>
      </c>
      <c r="B271" s="13"/>
      <c r="C271" s="13"/>
      <c r="D271" s="6"/>
      <c r="E271" s="13"/>
      <c r="F271" s="8"/>
      <c r="G271" s="8"/>
      <c r="H271" s="8" t="str">
        <f t="shared" si="9"/>
        <v/>
      </c>
      <c r="I271" s="8" t="str">
        <f t="shared" si="10"/>
        <v/>
      </c>
      <c r="J271" s="6"/>
      <c r="K271" s="6"/>
    </row>
    <row r="272" spans="1:11" x14ac:dyDescent="0.25">
      <c r="A272" s="13" t="s">
        <v>803</v>
      </c>
      <c r="B272" s="13"/>
      <c r="C272" s="13"/>
      <c r="D272" s="6"/>
      <c r="E272" s="13"/>
      <c r="F272" s="8"/>
      <c r="G272" s="8"/>
      <c r="H272" s="8" t="str">
        <f t="shared" si="9"/>
        <v/>
      </c>
      <c r="I272" s="8" t="str">
        <f t="shared" si="10"/>
        <v/>
      </c>
      <c r="J272" s="6"/>
      <c r="K272" s="6"/>
    </row>
    <row r="273" spans="1:11" x14ac:dyDescent="0.25">
      <c r="A273" s="13" t="s">
        <v>804</v>
      </c>
      <c r="B273" s="13"/>
      <c r="C273" s="13"/>
      <c r="D273" s="6"/>
      <c r="E273" s="13"/>
      <c r="F273" s="8"/>
      <c r="G273" s="8"/>
      <c r="H273" s="8" t="str">
        <f t="shared" si="9"/>
        <v/>
      </c>
      <c r="I273" s="8" t="str">
        <f t="shared" si="10"/>
        <v/>
      </c>
      <c r="J273" s="6"/>
      <c r="K273" s="6"/>
    </row>
    <row r="274" spans="1:11" x14ac:dyDescent="0.25">
      <c r="A274" s="13" t="s">
        <v>805</v>
      </c>
      <c r="B274" s="13"/>
      <c r="C274" s="13"/>
      <c r="D274" s="6"/>
      <c r="E274" s="13"/>
      <c r="F274" s="8"/>
      <c r="G274" s="8"/>
      <c r="H274" s="8" t="str">
        <f t="shared" si="9"/>
        <v/>
      </c>
      <c r="I274" s="8" t="str">
        <f t="shared" si="10"/>
        <v/>
      </c>
      <c r="J274" s="6"/>
      <c r="K274" s="6"/>
    </row>
    <row r="275" spans="1:11" x14ac:dyDescent="0.25">
      <c r="A275" s="13" t="s">
        <v>806</v>
      </c>
      <c r="B275" s="13"/>
      <c r="C275" s="13"/>
      <c r="D275" s="6"/>
      <c r="E275" s="13"/>
      <c r="F275" s="8"/>
      <c r="G275" s="8"/>
      <c r="H275" s="8" t="str">
        <f t="shared" si="9"/>
        <v/>
      </c>
      <c r="I275" s="8" t="str">
        <f t="shared" si="10"/>
        <v/>
      </c>
      <c r="J275" s="6"/>
      <c r="K275" s="6"/>
    </row>
    <row r="276" spans="1:11" x14ac:dyDescent="0.25">
      <c r="A276" s="13" t="s">
        <v>807</v>
      </c>
      <c r="B276" s="13"/>
      <c r="C276" s="13"/>
      <c r="D276" s="6"/>
      <c r="E276" s="13"/>
      <c r="F276" s="8"/>
      <c r="G276" s="8"/>
      <c r="H276" s="8" t="str">
        <f t="shared" si="9"/>
        <v/>
      </c>
      <c r="I276" s="8" t="str">
        <f t="shared" si="10"/>
        <v/>
      </c>
      <c r="J276" s="6"/>
      <c r="K276" s="6"/>
    </row>
    <row r="277" spans="1:11" x14ac:dyDescent="0.25">
      <c r="A277" s="13" t="s">
        <v>808</v>
      </c>
      <c r="B277" s="13"/>
      <c r="C277" s="13"/>
      <c r="D277" s="6"/>
      <c r="E277" s="13"/>
      <c r="F277" s="8"/>
      <c r="G277" s="8"/>
      <c r="H277" s="8" t="str">
        <f t="shared" si="9"/>
        <v/>
      </c>
      <c r="I277" s="8" t="str">
        <f t="shared" si="10"/>
        <v/>
      </c>
      <c r="J277" s="6"/>
      <c r="K277" s="6"/>
    </row>
    <row r="278" spans="1:11" x14ac:dyDescent="0.25">
      <c r="A278" s="13" t="s">
        <v>809</v>
      </c>
      <c r="B278" s="13"/>
      <c r="C278" s="13"/>
      <c r="D278" s="6"/>
      <c r="E278" s="13"/>
      <c r="F278" s="8"/>
      <c r="G278" s="8"/>
      <c r="H278" s="8" t="str">
        <f t="shared" si="9"/>
        <v/>
      </c>
      <c r="I278" s="8" t="str">
        <f t="shared" si="10"/>
        <v/>
      </c>
      <c r="J278" s="6"/>
      <c r="K278" s="6"/>
    </row>
    <row r="279" spans="1:11" x14ac:dyDescent="0.25">
      <c r="A279" s="13" t="s">
        <v>810</v>
      </c>
      <c r="B279" s="13"/>
      <c r="C279" s="13"/>
      <c r="D279" s="6"/>
      <c r="E279" s="13"/>
      <c r="F279" s="8"/>
      <c r="G279" s="8"/>
      <c r="H279" s="8" t="str">
        <f t="shared" si="9"/>
        <v/>
      </c>
      <c r="I279" s="8" t="str">
        <f t="shared" si="10"/>
        <v/>
      </c>
      <c r="J279" s="6"/>
      <c r="K279" s="6"/>
    </row>
    <row r="280" spans="1:11" x14ac:dyDescent="0.25">
      <c r="A280" s="13" t="s">
        <v>811</v>
      </c>
      <c r="B280" s="13"/>
      <c r="C280" s="13"/>
      <c r="D280" s="6"/>
      <c r="E280" s="13"/>
      <c r="F280" s="8"/>
      <c r="G280" s="8"/>
      <c r="H280" s="8" t="str">
        <f t="shared" si="9"/>
        <v/>
      </c>
      <c r="I280" s="8" t="str">
        <f t="shared" si="10"/>
        <v/>
      </c>
      <c r="J280" s="6"/>
      <c r="K280" s="6"/>
    </row>
    <row r="281" spans="1:11" x14ac:dyDescent="0.25">
      <c r="A281" s="13" t="s">
        <v>812</v>
      </c>
      <c r="B281" s="13"/>
      <c r="C281" s="13"/>
      <c r="D281" s="6"/>
      <c r="E281" s="13"/>
      <c r="F281" s="8"/>
      <c r="G281" s="8"/>
      <c r="H281" s="8" t="str">
        <f t="shared" si="9"/>
        <v/>
      </c>
      <c r="I281" s="8" t="str">
        <f t="shared" si="10"/>
        <v/>
      </c>
      <c r="J281" s="6"/>
      <c r="K281" s="6"/>
    </row>
    <row r="282" spans="1:11" x14ac:dyDescent="0.25">
      <c r="A282" s="13" t="s">
        <v>813</v>
      </c>
      <c r="B282" s="13"/>
      <c r="C282" s="13"/>
      <c r="D282" s="6"/>
      <c r="E282" s="13"/>
      <c r="F282" s="8"/>
      <c r="G282" s="8"/>
      <c r="H282" s="8" t="str">
        <f t="shared" si="9"/>
        <v/>
      </c>
      <c r="I282" s="8" t="str">
        <f t="shared" si="10"/>
        <v/>
      </c>
      <c r="J282" s="6"/>
      <c r="K282" s="6"/>
    </row>
    <row r="283" spans="1:11" x14ac:dyDescent="0.25">
      <c r="A283" s="13" t="s">
        <v>814</v>
      </c>
      <c r="B283" s="13"/>
      <c r="C283" s="13"/>
      <c r="D283" s="6"/>
      <c r="E283" s="13"/>
      <c r="F283" s="8"/>
      <c r="G283" s="8"/>
      <c r="H283" s="8" t="str">
        <f t="shared" si="9"/>
        <v/>
      </c>
      <c r="I283" s="8" t="str">
        <f t="shared" si="10"/>
        <v/>
      </c>
      <c r="J283" s="6"/>
      <c r="K283" s="6"/>
    </row>
    <row r="284" spans="1:11" x14ac:dyDescent="0.25">
      <c r="A284" s="13" t="s">
        <v>815</v>
      </c>
      <c r="B284" s="13"/>
      <c r="C284" s="13"/>
      <c r="D284" s="6"/>
      <c r="E284" s="13"/>
      <c r="F284" s="8"/>
      <c r="G284" s="8"/>
      <c r="H284" s="8" t="str">
        <f t="shared" si="9"/>
        <v/>
      </c>
      <c r="I284" s="8" t="str">
        <f t="shared" si="10"/>
        <v/>
      </c>
      <c r="J284" s="6"/>
      <c r="K284" s="6"/>
    </row>
    <row r="285" spans="1:11" x14ac:dyDescent="0.25">
      <c r="A285" s="13" t="s">
        <v>816</v>
      </c>
      <c r="B285" s="13"/>
      <c r="C285" s="13"/>
      <c r="D285" s="6"/>
      <c r="E285" s="13"/>
      <c r="F285" s="8"/>
      <c r="G285" s="8"/>
      <c r="H285" s="8" t="str">
        <f t="shared" si="9"/>
        <v/>
      </c>
      <c r="I285" s="8" t="str">
        <f t="shared" si="10"/>
        <v/>
      </c>
      <c r="J285" s="6"/>
      <c r="K285" s="6"/>
    </row>
    <row r="286" spans="1:11" x14ac:dyDescent="0.25">
      <c r="A286" s="13" t="s">
        <v>817</v>
      </c>
      <c r="B286" s="13"/>
      <c r="C286" s="13"/>
      <c r="D286" s="6"/>
      <c r="E286" s="13"/>
      <c r="F286" s="8"/>
      <c r="G286" s="8"/>
      <c r="H286" s="8" t="str">
        <f t="shared" si="9"/>
        <v/>
      </c>
      <c r="I286" s="8" t="str">
        <f t="shared" si="10"/>
        <v/>
      </c>
      <c r="J286" s="6"/>
      <c r="K286" s="6"/>
    </row>
    <row r="287" spans="1:11" x14ac:dyDescent="0.25">
      <c r="A287" s="13" t="s">
        <v>818</v>
      </c>
      <c r="B287" s="13"/>
      <c r="C287" s="13"/>
      <c r="D287" s="6"/>
      <c r="E287" s="13"/>
      <c r="F287" s="8"/>
      <c r="G287" s="8"/>
      <c r="H287" s="8" t="str">
        <f t="shared" si="9"/>
        <v/>
      </c>
      <c r="I287" s="8" t="str">
        <f t="shared" si="10"/>
        <v/>
      </c>
      <c r="J287" s="6"/>
      <c r="K287" s="6"/>
    </row>
    <row r="288" spans="1:11" x14ac:dyDescent="0.25">
      <c r="A288" s="13" t="s">
        <v>819</v>
      </c>
      <c r="B288" s="13"/>
      <c r="C288" s="13"/>
      <c r="D288" s="6"/>
      <c r="E288" s="13"/>
      <c r="F288" s="8"/>
      <c r="G288" s="8"/>
      <c r="H288" s="8" t="str">
        <f t="shared" si="9"/>
        <v/>
      </c>
      <c r="I288" s="8" t="str">
        <f t="shared" si="10"/>
        <v/>
      </c>
      <c r="J288" s="6"/>
      <c r="K288" s="6"/>
    </row>
    <row r="289" spans="1:11" x14ac:dyDescent="0.25">
      <c r="A289" s="13" t="s">
        <v>820</v>
      </c>
      <c r="B289" s="13"/>
      <c r="C289" s="13"/>
      <c r="D289" s="6"/>
      <c r="E289" s="13"/>
      <c r="F289" s="8"/>
      <c r="G289" s="8"/>
      <c r="H289" s="8" t="str">
        <f t="shared" si="9"/>
        <v/>
      </c>
      <c r="I289" s="8" t="str">
        <f t="shared" si="10"/>
        <v/>
      </c>
      <c r="J289" s="6"/>
      <c r="K289" s="6"/>
    </row>
    <row r="290" spans="1:11" x14ac:dyDescent="0.25">
      <c r="A290" s="13" t="s">
        <v>821</v>
      </c>
      <c r="B290" s="13"/>
      <c r="C290" s="13"/>
      <c r="D290" s="6"/>
      <c r="E290" s="13"/>
      <c r="F290" s="8"/>
      <c r="G290" s="8"/>
      <c r="H290" s="8" t="str">
        <f t="shared" si="9"/>
        <v/>
      </c>
      <c r="I290" s="8" t="str">
        <f t="shared" si="10"/>
        <v/>
      </c>
      <c r="J290" s="6"/>
      <c r="K290" s="6"/>
    </row>
    <row r="291" spans="1:11" x14ac:dyDescent="0.25">
      <c r="A291" s="13" t="s">
        <v>822</v>
      </c>
      <c r="B291" s="13"/>
      <c r="C291" s="13"/>
      <c r="D291" s="6"/>
      <c r="E291" s="13"/>
      <c r="F291" s="8"/>
      <c r="G291" s="8"/>
      <c r="H291" s="8" t="str">
        <f t="shared" si="9"/>
        <v/>
      </c>
      <c r="I291" s="8" t="str">
        <f t="shared" si="10"/>
        <v/>
      </c>
      <c r="J291" s="6"/>
      <c r="K291" s="6"/>
    </row>
    <row r="292" spans="1:11" x14ac:dyDescent="0.25">
      <c r="A292" s="13" t="s">
        <v>823</v>
      </c>
      <c r="B292" s="13"/>
      <c r="C292" s="13"/>
      <c r="D292" s="6"/>
      <c r="E292" s="13"/>
      <c r="F292" s="8"/>
      <c r="G292" s="8"/>
      <c r="H292" s="8" t="str">
        <f t="shared" si="9"/>
        <v/>
      </c>
      <c r="I292" s="8" t="str">
        <f t="shared" si="10"/>
        <v/>
      </c>
      <c r="J292" s="6"/>
      <c r="K292" s="6"/>
    </row>
    <row r="293" spans="1:11" x14ac:dyDescent="0.25">
      <c r="A293" s="13" t="s">
        <v>824</v>
      </c>
      <c r="B293" s="13"/>
      <c r="C293" s="13"/>
      <c r="D293" s="6"/>
      <c r="E293" s="13"/>
      <c r="F293" s="8"/>
      <c r="G293" s="8"/>
      <c r="H293" s="8" t="str">
        <f t="shared" si="9"/>
        <v/>
      </c>
      <c r="I293" s="8" t="str">
        <f t="shared" si="10"/>
        <v/>
      </c>
      <c r="J293" s="6"/>
      <c r="K293" s="6"/>
    </row>
    <row r="294" spans="1:11" x14ac:dyDescent="0.25">
      <c r="A294" s="13" t="s">
        <v>825</v>
      </c>
      <c r="B294" s="13"/>
      <c r="C294" s="13"/>
      <c r="D294" s="6"/>
      <c r="E294" s="13"/>
      <c r="F294" s="8"/>
      <c r="G294" s="8"/>
      <c r="H294" s="8" t="str">
        <f t="shared" si="9"/>
        <v/>
      </c>
      <c r="I294" s="8" t="str">
        <f t="shared" si="10"/>
        <v/>
      </c>
      <c r="J294" s="6"/>
      <c r="K294" s="6"/>
    </row>
    <row r="295" spans="1:11" x14ac:dyDescent="0.25">
      <c r="A295" s="13" t="s">
        <v>826</v>
      </c>
      <c r="B295" s="13"/>
      <c r="C295" s="13"/>
      <c r="D295" s="6"/>
      <c r="E295" s="13"/>
      <c r="F295" s="8"/>
      <c r="G295" s="8"/>
      <c r="H295" s="8" t="str">
        <f t="shared" si="9"/>
        <v/>
      </c>
      <c r="I295" s="8" t="str">
        <f t="shared" si="10"/>
        <v/>
      </c>
      <c r="J295" s="6"/>
      <c r="K295" s="6"/>
    </row>
    <row r="296" spans="1:11" x14ac:dyDescent="0.25">
      <c r="A296" s="13" t="s">
        <v>827</v>
      </c>
      <c r="B296" s="13"/>
      <c r="C296" s="13"/>
      <c r="D296" s="6"/>
      <c r="E296" s="13"/>
      <c r="F296" s="8"/>
      <c r="G296" s="8"/>
      <c r="H296" s="8" t="str">
        <f t="shared" si="9"/>
        <v/>
      </c>
      <c r="I296" s="8" t="str">
        <f t="shared" si="10"/>
        <v/>
      </c>
      <c r="J296" s="6"/>
      <c r="K296" s="6"/>
    </row>
    <row r="297" spans="1:11" x14ac:dyDescent="0.25">
      <c r="A297" s="13" t="s">
        <v>828</v>
      </c>
      <c r="B297" s="13"/>
      <c r="C297" s="13"/>
      <c r="D297" s="6"/>
      <c r="E297" s="13"/>
      <c r="F297" s="8"/>
      <c r="G297" s="8"/>
      <c r="H297" s="8" t="str">
        <f t="shared" si="9"/>
        <v/>
      </c>
      <c r="I297" s="8" t="str">
        <f t="shared" si="10"/>
        <v/>
      </c>
      <c r="J297" s="6"/>
      <c r="K297" s="6"/>
    </row>
    <row r="298" spans="1:11" x14ac:dyDescent="0.25">
      <c r="A298" s="13" t="s">
        <v>829</v>
      </c>
      <c r="B298" s="13"/>
      <c r="C298" s="13"/>
      <c r="D298" s="6"/>
      <c r="E298" s="13"/>
      <c r="F298" s="8"/>
      <c r="G298" s="8"/>
      <c r="H298" s="8" t="str">
        <f t="shared" si="9"/>
        <v/>
      </c>
      <c r="I298" s="8" t="str">
        <f t="shared" si="10"/>
        <v/>
      </c>
      <c r="J298" s="6"/>
      <c r="K298" s="6"/>
    </row>
    <row r="299" spans="1:11" x14ac:dyDescent="0.25">
      <c r="A299" s="13" t="s">
        <v>830</v>
      </c>
      <c r="B299" s="13"/>
      <c r="C299" s="13"/>
      <c r="D299" s="6"/>
      <c r="E299" s="13"/>
      <c r="F299" s="8"/>
      <c r="G299" s="8"/>
      <c r="H299" s="8" t="str">
        <f t="shared" si="9"/>
        <v/>
      </c>
      <c r="I299" s="8" t="str">
        <f t="shared" si="10"/>
        <v/>
      </c>
      <c r="J299" s="6"/>
      <c r="K299" s="6"/>
    </row>
    <row r="300" spans="1:11" x14ac:dyDescent="0.25">
      <c r="A300" s="13" t="s">
        <v>831</v>
      </c>
      <c r="B300" s="13"/>
      <c r="C300" s="13"/>
      <c r="D300" s="6"/>
      <c r="E300" s="13"/>
      <c r="F300" s="8"/>
      <c r="G300" s="8"/>
      <c r="H300" s="8" t="str">
        <f t="shared" si="9"/>
        <v/>
      </c>
      <c r="I300" s="8" t="str">
        <f t="shared" si="10"/>
        <v/>
      </c>
      <c r="J300" s="6"/>
      <c r="K300" s="6"/>
    </row>
    <row r="301" spans="1:11" x14ac:dyDescent="0.25">
      <c r="A301" s="13" t="s">
        <v>832</v>
      </c>
      <c r="B301" s="13"/>
      <c r="C301" s="13"/>
      <c r="D301" s="6"/>
      <c r="E301" s="13"/>
      <c r="F301" s="8"/>
      <c r="G301" s="8"/>
      <c r="H301" s="8" t="str">
        <f t="shared" si="9"/>
        <v/>
      </c>
      <c r="I301" s="8" t="str">
        <f t="shared" si="10"/>
        <v/>
      </c>
      <c r="J301" s="6"/>
      <c r="K301" s="6"/>
    </row>
    <row r="302" spans="1:11" x14ac:dyDescent="0.25">
      <c r="A302" s="13" t="s">
        <v>833</v>
      </c>
      <c r="B302" s="13"/>
      <c r="C302" s="13"/>
      <c r="D302" s="6"/>
      <c r="E302" s="13"/>
      <c r="F302" s="8"/>
      <c r="G302" s="8"/>
      <c r="H302" s="8" t="str">
        <f t="shared" si="9"/>
        <v/>
      </c>
      <c r="I302" s="8" t="str">
        <f t="shared" si="10"/>
        <v/>
      </c>
      <c r="J302" s="6"/>
      <c r="K302" s="6"/>
    </row>
    <row r="303" spans="1:11" x14ac:dyDescent="0.25">
      <c r="A303" s="13" t="s">
        <v>834</v>
      </c>
      <c r="B303" s="13"/>
      <c r="C303" s="13"/>
      <c r="D303" s="6"/>
      <c r="E303" s="13"/>
      <c r="F303" s="8"/>
      <c r="G303" s="8"/>
      <c r="H303" s="8" t="str">
        <f t="shared" si="9"/>
        <v/>
      </c>
      <c r="I303" s="8" t="str">
        <f t="shared" si="10"/>
        <v/>
      </c>
      <c r="J303" s="6"/>
      <c r="K303" s="6"/>
    </row>
    <row r="304" spans="1:11" x14ac:dyDescent="0.25">
      <c r="A304" s="13" t="s">
        <v>835</v>
      </c>
      <c r="B304" s="13"/>
      <c r="C304" s="13"/>
      <c r="D304" s="6"/>
      <c r="E304" s="13"/>
      <c r="F304" s="8"/>
      <c r="G304" s="8"/>
      <c r="H304" s="8" t="str">
        <f t="shared" si="9"/>
        <v/>
      </c>
      <c r="I304" s="8" t="str">
        <f t="shared" si="10"/>
        <v/>
      </c>
      <c r="J304" s="6"/>
      <c r="K304" s="6"/>
    </row>
    <row r="305" spans="1:11" x14ac:dyDescent="0.25">
      <c r="A305" s="13" t="s">
        <v>836</v>
      </c>
      <c r="B305" s="13"/>
      <c r="C305" s="13"/>
      <c r="D305" s="6"/>
      <c r="E305" s="13"/>
      <c r="F305" s="8"/>
      <c r="G305" s="8"/>
      <c r="H305" s="8" t="str">
        <f t="shared" si="9"/>
        <v/>
      </c>
      <c r="I305" s="8" t="str">
        <f t="shared" si="10"/>
        <v/>
      </c>
      <c r="J305" s="6"/>
      <c r="K305" s="6"/>
    </row>
    <row r="306" spans="1:11" x14ac:dyDescent="0.25">
      <c r="A306" s="13" t="s">
        <v>837</v>
      </c>
      <c r="B306" s="13"/>
      <c r="C306" s="13"/>
      <c r="D306" s="6"/>
      <c r="E306" s="13"/>
      <c r="F306" s="8"/>
      <c r="G306" s="8"/>
      <c r="H306" s="8" t="str">
        <f t="shared" si="9"/>
        <v/>
      </c>
      <c r="I306" s="8" t="str">
        <f t="shared" si="10"/>
        <v/>
      </c>
      <c r="J306" s="6"/>
      <c r="K306" s="6"/>
    </row>
    <row r="307" spans="1:11" x14ac:dyDescent="0.25">
      <c r="A307" s="13" t="s">
        <v>838</v>
      </c>
      <c r="B307" s="13"/>
      <c r="C307" s="13"/>
      <c r="D307" s="6"/>
      <c r="E307" s="13"/>
      <c r="F307" s="8"/>
      <c r="G307" s="8"/>
      <c r="H307" s="8" t="str">
        <f t="shared" si="9"/>
        <v/>
      </c>
      <c r="I307" s="8" t="str">
        <f t="shared" si="10"/>
        <v/>
      </c>
      <c r="J307" s="6"/>
      <c r="K307" s="6"/>
    </row>
    <row r="308" spans="1:11" x14ac:dyDescent="0.25">
      <c r="A308" s="13" t="s">
        <v>839</v>
      </c>
      <c r="B308" s="13"/>
      <c r="C308" s="13"/>
      <c r="D308" s="6"/>
      <c r="E308" s="13"/>
      <c r="F308" s="8"/>
      <c r="G308" s="8"/>
      <c r="H308" s="8" t="str">
        <f t="shared" si="9"/>
        <v/>
      </c>
      <c r="I308" s="8" t="str">
        <f t="shared" si="10"/>
        <v/>
      </c>
      <c r="J308" s="6"/>
      <c r="K308" s="6"/>
    </row>
    <row r="309" spans="1:11" x14ac:dyDescent="0.25">
      <c r="A309" s="13" t="s">
        <v>840</v>
      </c>
      <c r="B309" s="13"/>
      <c r="C309" s="13"/>
      <c r="D309" s="6"/>
      <c r="E309" s="13"/>
      <c r="F309" s="8"/>
      <c r="G309" s="8"/>
      <c r="H309" s="8" t="str">
        <f t="shared" si="9"/>
        <v/>
      </c>
      <c r="I309" s="8" t="str">
        <f t="shared" si="10"/>
        <v/>
      </c>
      <c r="J309" s="6"/>
      <c r="K309" s="6"/>
    </row>
    <row r="310" spans="1:11" x14ac:dyDescent="0.25">
      <c r="A310" s="13" t="s">
        <v>841</v>
      </c>
      <c r="B310" s="13"/>
      <c r="C310" s="13"/>
      <c r="D310" s="6"/>
      <c r="E310" s="13"/>
      <c r="F310" s="8"/>
      <c r="G310" s="8"/>
      <c r="H310" s="8" t="str">
        <f t="shared" si="9"/>
        <v/>
      </c>
      <c r="I310" s="8" t="str">
        <f t="shared" si="10"/>
        <v/>
      </c>
      <c r="J310" s="6"/>
      <c r="K310" s="6"/>
    </row>
    <row r="311" spans="1:11" x14ac:dyDescent="0.25">
      <c r="A311" s="13" t="s">
        <v>842</v>
      </c>
      <c r="B311" s="13"/>
      <c r="C311" s="13"/>
      <c r="D311" s="6"/>
      <c r="E311" s="13"/>
      <c r="F311" s="8"/>
      <c r="G311" s="8"/>
      <c r="H311" s="8" t="str">
        <f t="shared" si="9"/>
        <v/>
      </c>
      <c r="I311" s="8" t="str">
        <f t="shared" si="10"/>
        <v/>
      </c>
      <c r="J311" s="6"/>
      <c r="K311" s="6"/>
    </row>
    <row r="312" spans="1:11" x14ac:dyDescent="0.25">
      <c r="A312" s="13" t="s">
        <v>843</v>
      </c>
      <c r="B312" s="13"/>
      <c r="C312" s="13"/>
      <c r="D312" s="6"/>
      <c r="E312" s="13"/>
      <c r="F312" s="8"/>
      <c r="G312" s="8"/>
      <c r="H312" s="8" t="str">
        <f t="shared" si="9"/>
        <v/>
      </c>
      <c r="I312" s="8" t="str">
        <f t="shared" si="10"/>
        <v/>
      </c>
      <c r="J312" s="6"/>
      <c r="K312" s="6"/>
    </row>
    <row r="313" spans="1:11" x14ac:dyDescent="0.25">
      <c r="A313" s="13" t="s">
        <v>844</v>
      </c>
      <c r="B313" s="13"/>
      <c r="C313" s="13"/>
      <c r="D313" s="6"/>
      <c r="E313" s="13"/>
      <c r="F313" s="8"/>
      <c r="G313" s="8"/>
      <c r="H313" s="8" t="str">
        <f t="shared" si="9"/>
        <v/>
      </c>
      <c r="I313" s="8" t="str">
        <f t="shared" si="10"/>
        <v/>
      </c>
      <c r="J313" s="6"/>
      <c r="K313" s="6"/>
    </row>
    <row r="314" spans="1:11" x14ac:dyDescent="0.25">
      <c r="A314" s="13" t="s">
        <v>845</v>
      </c>
      <c r="B314" s="13"/>
      <c r="C314" s="13"/>
      <c r="D314" s="6"/>
      <c r="E314" s="13"/>
      <c r="F314" s="8"/>
      <c r="G314" s="8"/>
      <c r="H314" s="8" t="str">
        <f t="shared" si="9"/>
        <v/>
      </c>
      <c r="I314" s="8" t="str">
        <f t="shared" si="10"/>
        <v/>
      </c>
      <c r="J314" s="6"/>
      <c r="K314" s="6"/>
    </row>
    <row r="315" spans="1:11" x14ac:dyDescent="0.25">
      <c r="A315" s="13" t="s">
        <v>846</v>
      </c>
      <c r="B315" s="13"/>
      <c r="C315" s="13"/>
      <c r="D315" s="6"/>
      <c r="E315" s="13"/>
      <c r="F315" s="8"/>
      <c r="G315" s="8"/>
      <c r="H315" s="8" t="str">
        <f t="shared" si="9"/>
        <v/>
      </c>
      <c r="I315" s="8" t="str">
        <f t="shared" si="10"/>
        <v/>
      </c>
      <c r="J315" s="6"/>
      <c r="K315" s="6"/>
    </row>
    <row r="316" spans="1:11" x14ac:dyDescent="0.25">
      <c r="A316" s="13" t="s">
        <v>847</v>
      </c>
      <c r="B316" s="13"/>
      <c r="C316" s="13"/>
      <c r="D316" s="6"/>
      <c r="E316" s="13"/>
      <c r="F316" s="8"/>
      <c r="G316" s="8"/>
      <c r="H316" s="8" t="str">
        <f t="shared" si="9"/>
        <v/>
      </c>
      <c r="I316" s="8" t="str">
        <f t="shared" si="10"/>
        <v/>
      </c>
      <c r="J316" s="6"/>
      <c r="K316" s="6"/>
    </row>
    <row r="317" spans="1:11" x14ac:dyDescent="0.25">
      <c r="A317" s="13" t="s">
        <v>848</v>
      </c>
      <c r="B317" s="13"/>
      <c r="C317" s="13"/>
      <c r="D317" s="6"/>
      <c r="E317" s="13"/>
      <c r="F317" s="8"/>
      <c r="G317" s="8"/>
      <c r="H317" s="8" t="str">
        <f t="shared" si="9"/>
        <v/>
      </c>
      <c r="I317" s="8" t="str">
        <f t="shared" si="10"/>
        <v/>
      </c>
      <c r="J317" s="6"/>
      <c r="K317" s="6"/>
    </row>
    <row r="318" spans="1:11" x14ac:dyDescent="0.25">
      <c r="A318" s="13" t="s">
        <v>849</v>
      </c>
      <c r="B318" s="13"/>
      <c r="C318" s="13"/>
      <c r="D318" s="6"/>
      <c r="E318" s="13"/>
      <c r="F318" s="8"/>
      <c r="G318" s="8"/>
      <c r="H318" s="8" t="str">
        <f t="shared" si="9"/>
        <v/>
      </c>
      <c r="I318" s="8" t="str">
        <f t="shared" si="10"/>
        <v/>
      </c>
      <c r="J318" s="6"/>
      <c r="K318" s="6"/>
    </row>
    <row r="319" spans="1:11" x14ac:dyDescent="0.25">
      <c r="A319" s="13" t="s">
        <v>850</v>
      </c>
      <c r="B319" s="13"/>
      <c r="C319" s="13"/>
      <c r="D319" s="6"/>
      <c r="E319" s="13"/>
      <c r="F319" s="8"/>
      <c r="G319" s="8"/>
      <c r="H319" s="8" t="str">
        <f t="shared" si="9"/>
        <v/>
      </c>
      <c r="I319" s="8" t="str">
        <f t="shared" si="10"/>
        <v/>
      </c>
      <c r="J319" s="6"/>
      <c r="K319" s="6"/>
    </row>
    <row r="320" spans="1:11" x14ac:dyDescent="0.25">
      <c r="A320" s="13" t="s">
        <v>851</v>
      </c>
      <c r="B320" s="13"/>
      <c r="C320" s="13"/>
      <c r="D320" s="6"/>
      <c r="E320" s="13"/>
      <c r="F320" s="8"/>
      <c r="G320" s="8"/>
      <c r="H320" s="8" t="str">
        <f t="shared" si="9"/>
        <v/>
      </c>
      <c r="I320" s="8" t="str">
        <f t="shared" si="10"/>
        <v/>
      </c>
      <c r="J320" s="6"/>
      <c r="K320" s="6"/>
    </row>
    <row r="321" spans="1:11" x14ac:dyDescent="0.25">
      <c r="A321" s="13" t="s">
        <v>852</v>
      </c>
      <c r="B321" s="13"/>
      <c r="C321" s="13"/>
      <c r="D321" s="6"/>
      <c r="E321" s="13"/>
      <c r="F321" s="8"/>
      <c r="G321" s="8"/>
      <c r="H321" s="8" t="str">
        <f t="shared" si="9"/>
        <v/>
      </c>
      <c r="I321" s="8" t="str">
        <f t="shared" si="10"/>
        <v/>
      </c>
      <c r="J321" s="6"/>
      <c r="K321" s="6"/>
    </row>
    <row r="322" spans="1:11" x14ac:dyDescent="0.25">
      <c r="A322" s="13" t="s">
        <v>853</v>
      </c>
      <c r="B322" s="13"/>
      <c r="C322" s="13"/>
      <c r="D322" s="6"/>
      <c r="E322" s="13"/>
      <c r="F322" s="8"/>
      <c r="G322" s="8"/>
      <c r="H322" s="8" t="str">
        <f t="shared" si="9"/>
        <v/>
      </c>
      <c r="I322" s="8" t="str">
        <f t="shared" si="10"/>
        <v/>
      </c>
      <c r="J322" s="6"/>
      <c r="K322" s="6"/>
    </row>
    <row r="323" spans="1:11" x14ac:dyDescent="0.25">
      <c r="A323" s="13" t="s">
        <v>854</v>
      </c>
      <c r="B323" s="13"/>
      <c r="C323" s="13"/>
      <c r="D323" s="6"/>
      <c r="E323" s="13"/>
      <c r="F323" s="8"/>
      <c r="G323" s="8"/>
      <c r="H323" s="8" t="str">
        <f t="shared" si="9"/>
        <v/>
      </c>
      <c r="I323" s="8" t="str">
        <f t="shared" si="10"/>
        <v/>
      </c>
      <c r="J323" s="6"/>
      <c r="K323" s="6"/>
    </row>
    <row r="324" spans="1:11" x14ac:dyDescent="0.25">
      <c r="A324" s="13" t="s">
        <v>855</v>
      </c>
      <c r="B324" s="13"/>
      <c r="C324" s="13"/>
      <c r="D324" s="6"/>
      <c r="E324" s="13"/>
      <c r="F324" s="8"/>
      <c r="G324" s="8"/>
      <c r="H324" s="8" t="str">
        <f t="shared" si="9"/>
        <v/>
      </c>
      <c r="I324" s="8" t="str">
        <f t="shared" si="10"/>
        <v/>
      </c>
      <c r="J324" s="6"/>
      <c r="K324" s="6"/>
    </row>
    <row r="325" spans="1:11" x14ac:dyDescent="0.25">
      <c r="A325" s="13" t="s">
        <v>856</v>
      </c>
      <c r="B325" s="13"/>
      <c r="C325" s="13"/>
      <c r="D325" s="6"/>
      <c r="E325" s="13"/>
      <c r="F325" s="8"/>
      <c r="G325" s="8"/>
      <c r="H325" s="8" t="str">
        <f t="shared" ref="H325:H388" si="11">IF(AND(ISNUMBER(F325),ISNUMBER(G325),F325&gt;0,G325&gt;0), ROUND(F325*G325, 2), "")</f>
        <v/>
      </c>
      <c r="I325" s="8" t="str">
        <f t="shared" si="10"/>
        <v/>
      </c>
      <c r="J325" s="6"/>
      <c r="K325" s="6"/>
    </row>
    <row r="326" spans="1:11" x14ac:dyDescent="0.25">
      <c r="A326" s="13" t="s">
        <v>857</v>
      </c>
      <c r="B326" s="13"/>
      <c r="C326" s="13"/>
      <c r="D326" s="6"/>
      <c r="E326" s="13"/>
      <c r="F326" s="8"/>
      <c r="G326" s="8"/>
      <c r="H326" s="8" t="str">
        <f t="shared" si="11"/>
        <v/>
      </c>
      <c r="I326" s="8" t="str">
        <f t="shared" si="10"/>
        <v/>
      </c>
      <c r="J326" s="6"/>
      <c r="K326" s="6"/>
    </row>
    <row r="327" spans="1:11" x14ac:dyDescent="0.25">
      <c r="A327" s="13" t="s">
        <v>858</v>
      </c>
      <c r="B327" s="13"/>
      <c r="C327" s="13"/>
      <c r="D327" s="6"/>
      <c r="E327" s="13"/>
      <c r="F327" s="8"/>
      <c r="G327" s="8"/>
      <c r="H327" s="8" t="str">
        <f t="shared" si="11"/>
        <v/>
      </c>
      <c r="I327" s="8" t="str">
        <f t="shared" si="10"/>
        <v/>
      </c>
      <c r="J327" s="6"/>
      <c r="K327" s="6"/>
    </row>
    <row r="328" spans="1:11" x14ac:dyDescent="0.25">
      <c r="A328" s="13" t="s">
        <v>859</v>
      </c>
      <c r="B328" s="13"/>
      <c r="C328" s="13"/>
      <c r="D328" s="6"/>
      <c r="E328" s="13"/>
      <c r="F328" s="8"/>
      <c r="G328" s="8"/>
      <c r="H328" s="8" t="str">
        <f t="shared" si="11"/>
        <v/>
      </c>
      <c r="I328" s="8" t="str">
        <f t="shared" si="10"/>
        <v/>
      </c>
      <c r="J328" s="6"/>
      <c r="K328" s="6"/>
    </row>
    <row r="329" spans="1:11" x14ac:dyDescent="0.25">
      <c r="A329" s="13" t="s">
        <v>860</v>
      </c>
      <c r="B329" s="13"/>
      <c r="C329" s="13"/>
      <c r="D329" s="6"/>
      <c r="E329" s="13"/>
      <c r="F329" s="8"/>
      <c r="G329" s="8"/>
      <c r="H329" s="8" t="str">
        <f t="shared" si="11"/>
        <v/>
      </c>
      <c r="I329" s="8" t="str">
        <f t="shared" si="10"/>
        <v/>
      </c>
      <c r="J329" s="6"/>
      <c r="K329" s="6"/>
    </row>
    <row r="330" spans="1:11" x14ac:dyDescent="0.25">
      <c r="A330" s="13" t="s">
        <v>861</v>
      </c>
      <c r="B330" s="13"/>
      <c r="C330" s="13"/>
      <c r="D330" s="6"/>
      <c r="E330" s="13"/>
      <c r="F330" s="8"/>
      <c r="G330" s="8"/>
      <c r="H330" s="8" t="str">
        <f t="shared" si="11"/>
        <v/>
      </c>
      <c r="I330" s="8" t="str">
        <f t="shared" si="10"/>
        <v/>
      </c>
      <c r="J330" s="6"/>
      <c r="K330" s="6"/>
    </row>
    <row r="331" spans="1:11" x14ac:dyDescent="0.25">
      <c r="A331" s="13" t="s">
        <v>862</v>
      </c>
      <c r="B331" s="13"/>
      <c r="C331" s="13"/>
      <c r="D331" s="6"/>
      <c r="E331" s="13"/>
      <c r="F331" s="8"/>
      <c r="G331" s="8"/>
      <c r="H331" s="8" t="str">
        <f t="shared" si="11"/>
        <v/>
      </c>
      <c r="I331" s="8" t="str">
        <f t="shared" si="10"/>
        <v/>
      </c>
      <c r="J331" s="6"/>
      <c r="K331" s="6"/>
    </row>
    <row r="332" spans="1:11" x14ac:dyDescent="0.25">
      <c r="A332" s="13" t="s">
        <v>863</v>
      </c>
      <c r="B332" s="13"/>
      <c r="C332" s="13"/>
      <c r="D332" s="6"/>
      <c r="E332" s="13"/>
      <c r="F332" s="8"/>
      <c r="G332" s="8"/>
      <c r="H332" s="8" t="str">
        <f t="shared" si="11"/>
        <v/>
      </c>
      <c r="I332" s="8" t="str">
        <f t="shared" ref="I332:I395" si="12">IF(OR(H332="",H332=0), "", IF(ISNUMBER(I331), I331+H332, H332))</f>
        <v/>
      </c>
      <c r="J332" s="6"/>
      <c r="K332" s="6"/>
    </row>
    <row r="333" spans="1:11" x14ac:dyDescent="0.25">
      <c r="A333" s="13" t="s">
        <v>864</v>
      </c>
      <c r="B333" s="13"/>
      <c r="C333" s="13"/>
      <c r="D333" s="6"/>
      <c r="E333" s="13"/>
      <c r="F333" s="8"/>
      <c r="G333" s="8"/>
      <c r="H333" s="8" t="str">
        <f t="shared" si="11"/>
        <v/>
      </c>
      <c r="I333" s="8" t="str">
        <f t="shared" si="12"/>
        <v/>
      </c>
      <c r="J333" s="6"/>
      <c r="K333" s="6"/>
    </row>
    <row r="334" spans="1:11" x14ac:dyDescent="0.25">
      <c r="A334" s="13" t="s">
        <v>865</v>
      </c>
      <c r="B334" s="13"/>
      <c r="C334" s="13"/>
      <c r="D334" s="6"/>
      <c r="E334" s="13"/>
      <c r="F334" s="8"/>
      <c r="G334" s="8"/>
      <c r="H334" s="8" t="str">
        <f t="shared" si="11"/>
        <v/>
      </c>
      <c r="I334" s="8" t="str">
        <f t="shared" si="12"/>
        <v/>
      </c>
      <c r="J334" s="6"/>
      <c r="K334" s="6"/>
    </row>
    <row r="335" spans="1:11" x14ac:dyDescent="0.25">
      <c r="A335" s="13" t="s">
        <v>866</v>
      </c>
      <c r="B335" s="13"/>
      <c r="C335" s="13"/>
      <c r="D335" s="6"/>
      <c r="E335" s="13"/>
      <c r="F335" s="8"/>
      <c r="G335" s="8"/>
      <c r="H335" s="8" t="str">
        <f t="shared" si="11"/>
        <v/>
      </c>
      <c r="I335" s="8" t="str">
        <f t="shared" si="12"/>
        <v/>
      </c>
      <c r="J335" s="6"/>
      <c r="K335" s="6"/>
    </row>
    <row r="336" spans="1:11" x14ac:dyDescent="0.25">
      <c r="A336" s="13" t="s">
        <v>867</v>
      </c>
      <c r="B336" s="13"/>
      <c r="C336" s="13"/>
      <c r="D336" s="6"/>
      <c r="E336" s="13"/>
      <c r="F336" s="8"/>
      <c r="G336" s="8"/>
      <c r="H336" s="8" t="str">
        <f t="shared" si="11"/>
        <v/>
      </c>
      <c r="I336" s="8" t="str">
        <f t="shared" si="12"/>
        <v/>
      </c>
      <c r="J336" s="6"/>
      <c r="K336" s="6"/>
    </row>
    <row r="337" spans="1:11" x14ac:dyDescent="0.25">
      <c r="A337" s="13" t="s">
        <v>868</v>
      </c>
      <c r="B337" s="13"/>
      <c r="C337" s="13"/>
      <c r="D337" s="6"/>
      <c r="E337" s="13"/>
      <c r="F337" s="8"/>
      <c r="G337" s="8"/>
      <c r="H337" s="8" t="str">
        <f t="shared" si="11"/>
        <v/>
      </c>
      <c r="I337" s="8" t="str">
        <f t="shared" si="12"/>
        <v/>
      </c>
      <c r="J337" s="6"/>
      <c r="K337" s="6"/>
    </row>
    <row r="338" spans="1:11" x14ac:dyDescent="0.25">
      <c r="A338" s="13" t="s">
        <v>869</v>
      </c>
      <c r="B338" s="13"/>
      <c r="C338" s="13"/>
      <c r="D338" s="6"/>
      <c r="E338" s="13"/>
      <c r="F338" s="8"/>
      <c r="G338" s="8"/>
      <c r="H338" s="8" t="str">
        <f t="shared" si="11"/>
        <v/>
      </c>
      <c r="I338" s="8" t="str">
        <f t="shared" si="12"/>
        <v/>
      </c>
      <c r="J338" s="6"/>
      <c r="K338" s="6"/>
    </row>
    <row r="339" spans="1:11" x14ac:dyDescent="0.25">
      <c r="A339" s="13" t="s">
        <v>870</v>
      </c>
      <c r="B339" s="13"/>
      <c r="C339" s="13"/>
      <c r="D339" s="6"/>
      <c r="E339" s="13"/>
      <c r="F339" s="8"/>
      <c r="G339" s="8"/>
      <c r="H339" s="8" t="str">
        <f t="shared" si="11"/>
        <v/>
      </c>
      <c r="I339" s="8" t="str">
        <f t="shared" si="12"/>
        <v/>
      </c>
      <c r="J339" s="6"/>
      <c r="K339" s="6"/>
    </row>
    <row r="340" spans="1:11" x14ac:dyDescent="0.25">
      <c r="A340" s="13" t="s">
        <v>871</v>
      </c>
      <c r="B340" s="13"/>
      <c r="C340" s="13"/>
      <c r="D340" s="6"/>
      <c r="E340" s="13"/>
      <c r="F340" s="8"/>
      <c r="G340" s="8"/>
      <c r="H340" s="8" t="str">
        <f t="shared" si="11"/>
        <v/>
      </c>
      <c r="I340" s="8" t="str">
        <f t="shared" si="12"/>
        <v/>
      </c>
      <c r="J340" s="6"/>
      <c r="K340" s="6"/>
    </row>
    <row r="341" spans="1:11" x14ac:dyDescent="0.25">
      <c r="A341" s="13" t="s">
        <v>872</v>
      </c>
      <c r="B341" s="13"/>
      <c r="C341" s="13"/>
      <c r="D341" s="6"/>
      <c r="E341" s="13"/>
      <c r="F341" s="8"/>
      <c r="G341" s="8"/>
      <c r="H341" s="8" t="str">
        <f t="shared" si="11"/>
        <v/>
      </c>
      <c r="I341" s="8" t="str">
        <f t="shared" si="12"/>
        <v/>
      </c>
      <c r="J341" s="6"/>
      <c r="K341" s="6"/>
    </row>
    <row r="342" spans="1:11" x14ac:dyDescent="0.25">
      <c r="A342" s="13" t="s">
        <v>873</v>
      </c>
      <c r="B342" s="13"/>
      <c r="C342" s="13"/>
      <c r="D342" s="6"/>
      <c r="E342" s="13"/>
      <c r="F342" s="8"/>
      <c r="G342" s="8"/>
      <c r="H342" s="8" t="str">
        <f t="shared" si="11"/>
        <v/>
      </c>
      <c r="I342" s="8" t="str">
        <f t="shared" si="12"/>
        <v/>
      </c>
      <c r="J342" s="6"/>
      <c r="K342" s="6"/>
    </row>
    <row r="343" spans="1:11" x14ac:dyDescent="0.25">
      <c r="A343" s="13" t="s">
        <v>874</v>
      </c>
      <c r="B343" s="13"/>
      <c r="C343" s="13"/>
      <c r="D343" s="6"/>
      <c r="E343" s="13"/>
      <c r="F343" s="8"/>
      <c r="G343" s="8"/>
      <c r="H343" s="8" t="str">
        <f t="shared" si="11"/>
        <v/>
      </c>
      <c r="I343" s="8" t="str">
        <f t="shared" si="12"/>
        <v/>
      </c>
      <c r="J343" s="6"/>
      <c r="K343" s="6"/>
    </row>
    <row r="344" spans="1:11" x14ac:dyDescent="0.25">
      <c r="A344" s="13" t="s">
        <v>875</v>
      </c>
      <c r="B344" s="13"/>
      <c r="C344" s="13"/>
      <c r="D344" s="6"/>
      <c r="E344" s="13"/>
      <c r="F344" s="8"/>
      <c r="G344" s="8"/>
      <c r="H344" s="8" t="str">
        <f t="shared" si="11"/>
        <v/>
      </c>
      <c r="I344" s="8" t="str">
        <f t="shared" si="12"/>
        <v/>
      </c>
      <c r="J344" s="6"/>
      <c r="K344" s="6"/>
    </row>
    <row r="345" spans="1:11" x14ac:dyDescent="0.25">
      <c r="A345" s="13" t="s">
        <v>876</v>
      </c>
      <c r="B345" s="13"/>
      <c r="C345" s="13"/>
      <c r="D345" s="6"/>
      <c r="E345" s="13"/>
      <c r="F345" s="8"/>
      <c r="G345" s="8"/>
      <c r="H345" s="8" t="str">
        <f t="shared" si="11"/>
        <v/>
      </c>
      <c r="I345" s="8" t="str">
        <f t="shared" si="12"/>
        <v/>
      </c>
      <c r="J345" s="6"/>
      <c r="K345" s="6"/>
    </row>
    <row r="346" spans="1:11" x14ac:dyDescent="0.25">
      <c r="A346" s="13" t="s">
        <v>877</v>
      </c>
      <c r="B346" s="13"/>
      <c r="C346" s="13"/>
      <c r="D346" s="6"/>
      <c r="E346" s="13"/>
      <c r="F346" s="8"/>
      <c r="G346" s="8"/>
      <c r="H346" s="8" t="str">
        <f t="shared" si="11"/>
        <v/>
      </c>
      <c r="I346" s="8" t="str">
        <f t="shared" si="12"/>
        <v/>
      </c>
      <c r="J346" s="6"/>
      <c r="K346" s="6"/>
    </row>
    <row r="347" spans="1:11" x14ac:dyDescent="0.25">
      <c r="A347" s="13" t="s">
        <v>878</v>
      </c>
      <c r="B347" s="13"/>
      <c r="C347" s="13"/>
      <c r="D347" s="6"/>
      <c r="E347" s="13"/>
      <c r="F347" s="8"/>
      <c r="G347" s="8"/>
      <c r="H347" s="8" t="str">
        <f t="shared" si="11"/>
        <v/>
      </c>
      <c r="I347" s="8" t="str">
        <f t="shared" si="12"/>
        <v/>
      </c>
      <c r="J347" s="6"/>
      <c r="K347" s="6"/>
    </row>
    <row r="348" spans="1:11" x14ac:dyDescent="0.25">
      <c r="A348" s="13" t="s">
        <v>879</v>
      </c>
      <c r="B348" s="13"/>
      <c r="C348" s="13"/>
      <c r="D348" s="6"/>
      <c r="E348" s="13"/>
      <c r="F348" s="8"/>
      <c r="G348" s="8"/>
      <c r="H348" s="8" t="str">
        <f t="shared" si="11"/>
        <v/>
      </c>
      <c r="I348" s="8" t="str">
        <f t="shared" si="12"/>
        <v/>
      </c>
      <c r="J348" s="6"/>
      <c r="K348" s="6"/>
    </row>
    <row r="349" spans="1:11" x14ac:dyDescent="0.25">
      <c r="A349" s="13" t="s">
        <v>880</v>
      </c>
      <c r="B349" s="13"/>
      <c r="C349" s="13"/>
      <c r="D349" s="6"/>
      <c r="E349" s="13"/>
      <c r="F349" s="8"/>
      <c r="G349" s="8"/>
      <c r="H349" s="8" t="str">
        <f t="shared" si="11"/>
        <v/>
      </c>
      <c r="I349" s="8" t="str">
        <f t="shared" si="12"/>
        <v/>
      </c>
      <c r="J349" s="6"/>
      <c r="K349" s="6"/>
    </row>
    <row r="350" spans="1:11" x14ac:dyDescent="0.25">
      <c r="A350" s="13" t="s">
        <v>881</v>
      </c>
      <c r="B350" s="13"/>
      <c r="C350" s="13"/>
      <c r="D350" s="6"/>
      <c r="E350" s="13"/>
      <c r="F350" s="8"/>
      <c r="G350" s="8"/>
      <c r="H350" s="8" t="str">
        <f t="shared" si="11"/>
        <v/>
      </c>
      <c r="I350" s="8" t="str">
        <f t="shared" si="12"/>
        <v/>
      </c>
      <c r="J350" s="6"/>
      <c r="K350" s="6"/>
    </row>
    <row r="351" spans="1:11" x14ac:dyDescent="0.25">
      <c r="A351" s="13" t="s">
        <v>882</v>
      </c>
      <c r="B351" s="13"/>
      <c r="C351" s="13"/>
      <c r="D351" s="6"/>
      <c r="E351" s="13"/>
      <c r="F351" s="8"/>
      <c r="G351" s="8"/>
      <c r="H351" s="8" t="str">
        <f t="shared" si="11"/>
        <v/>
      </c>
      <c r="I351" s="8" t="str">
        <f t="shared" si="12"/>
        <v/>
      </c>
      <c r="J351" s="6"/>
      <c r="K351" s="6"/>
    </row>
    <row r="352" spans="1:11" x14ac:dyDescent="0.25">
      <c r="A352" s="13" t="s">
        <v>883</v>
      </c>
      <c r="B352" s="13"/>
      <c r="C352" s="13"/>
      <c r="D352" s="6"/>
      <c r="E352" s="13"/>
      <c r="F352" s="8"/>
      <c r="G352" s="8"/>
      <c r="H352" s="8" t="str">
        <f t="shared" si="11"/>
        <v/>
      </c>
      <c r="I352" s="8" t="str">
        <f t="shared" si="12"/>
        <v/>
      </c>
      <c r="J352" s="6"/>
      <c r="K352" s="6"/>
    </row>
    <row r="353" spans="1:11" x14ac:dyDescent="0.25">
      <c r="A353" s="13" t="s">
        <v>884</v>
      </c>
      <c r="B353" s="13"/>
      <c r="C353" s="13"/>
      <c r="D353" s="6"/>
      <c r="E353" s="13"/>
      <c r="F353" s="8"/>
      <c r="G353" s="8"/>
      <c r="H353" s="8" t="str">
        <f t="shared" si="11"/>
        <v/>
      </c>
      <c r="I353" s="8" t="str">
        <f t="shared" si="12"/>
        <v/>
      </c>
      <c r="J353" s="6"/>
      <c r="K353" s="6"/>
    </row>
    <row r="354" spans="1:11" x14ac:dyDescent="0.25">
      <c r="A354" s="13" t="s">
        <v>885</v>
      </c>
      <c r="B354" s="13"/>
      <c r="C354" s="13"/>
      <c r="D354" s="6"/>
      <c r="E354" s="13"/>
      <c r="F354" s="8"/>
      <c r="G354" s="8"/>
      <c r="H354" s="8" t="str">
        <f t="shared" si="11"/>
        <v/>
      </c>
      <c r="I354" s="8" t="str">
        <f t="shared" si="12"/>
        <v/>
      </c>
      <c r="J354" s="6"/>
      <c r="K354" s="6"/>
    </row>
    <row r="355" spans="1:11" x14ac:dyDescent="0.25">
      <c r="A355" s="13" t="s">
        <v>886</v>
      </c>
      <c r="B355" s="13"/>
      <c r="C355" s="13"/>
      <c r="D355" s="6"/>
      <c r="E355" s="13"/>
      <c r="F355" s="8"/>
      <c r="G355" s="8"/>
      <c r="H355" s="8" t="str">
        <f t="shared" si="11"/>
        <v/>
      </c>
      <c r="I355" s="8" t="str">
        <f t="shared" si="12"/>
        <v/>
      </c>
      <c r="J355" s="6"/>
      <c r="K355" s="6"/>
    </row>
    <row r="356" spans="1:11" x14ac:dyDescent="0.25">
      <c r="A356" s="13" t="s">
        <v>887</v>
      </c>
      <c r="B356" s="13"/>
      <c r="C356" s="13"/>
      <c r="D356" s="6"/>
      <c r="E356" s="13"/>
      <c r="F356" s="8"/>
      <c r="G356" s="8"/>
      <c r="H356" s="8" t="str">
        <f t="shared" si="11"/>
        <v/>
      </c>
      <c r="I356" s="8" t="str">
        <f t="shared" si="12"/>
        <v/>
      </c>
      <c r="J356" s="6"/>
      <c r="K356" s="6"/>
    </row>
    <row r="357" spans="1:11" x14ac:dyDescent="0.25">
      <c r="A357" s="13" t="s">
        <v>888</v>
      </c>
      <c r="B357" s="13"/>
      <c r="C357" s="13"/>
      <c r="D357" s="6"/>
      <c r="E357" s="13"/>
      <c r="F357" s="8"/>
      <c r="G357" s="8"/>
      <c r="H357" s="8" t="str">
        <f t="shared" si="11"/>
        <v/>
      </c>
      <c r="I357" s="8" t="str">
        <f t="shared" si="12"/>
        <v/>
      </c>
      <c r="J357" s="6"/>
      <c r="K357" s="6"/>
    </row>
    <row r="358" spans="1:11" x14ac:dyDescent="0.25">
      <c r="A358" s="13" t="s">
        <v>889</v>
      </c>
      <c r="B358" s="13"/>
      <c r="C358" s="13"/>
      <c r="D358" s="6"/>
      <c r="E358" s="13"/>
      <c r="F358" s="8"/>
      <c r="G358" s="8"/>
      <c r="H358" s="8" t="str">
        <f t="shared" si="11"/>
        <v/>
      </c>
      <c r="I358" s="8" t="str">
        <f t="shared" si="12"/>
        <v/>
      </c>
      <c r="J358" s="6"/>
      <c r="K358" s="6"/>
    </row>
    <row r="359" spans="1:11" x14ac:dyDescent="0.25">
      <c r="A359" s="13" t="s">
        <v>890</v>
      </c>
      <c r="B359" s="13"/>
      <c r="C359" s="13"/>
      <c r="D359" s="6"/>
      <c r="E359" s="13"/>
      <c r="F359" s="8"/>
      <c r="G359" s="8"/>
      <c r="H359" s="8" t="str">
        <f t="shared" si="11"/>
        <v/>
      </c>
      <c r="I359" s="8" t="str">
        <f t="shared" si="12"/>
        <v/>
      </c>
      <c r="J359" s="6"/>
      <c r="K359" s="6"/>
    </row>
    <row r="360" spans="1:11" x14ac:dyDescent="0.25">
      <c r="A360" s="13" t="s">
        <v>891</v>
      </c>
      <c r="B360" s="13"/>
      <c r="C360" s="13"/>
      <c r="D360" s="6"/>
      <c r="E360" s="13"/>
      <c r="F360" s="8"/>
      <c r="G360" s="8"/>
      <c r="H360" s="8" t="str">
        <f t="shared" si="11"/>
        <v/>
      </c>
      <c r="I360" s="8" t="str">
        <f t="shared" si="12"/>
        <v/>
      </c>
      <c r="J360" s="6"/>
      <c r="K360" s="6"/>
    </row>
    <row r="361" spans="1:11" x14ac:dyDescent="0.25">
      <c r="A361" s="13" t="s">
        <v>892</v>
      </c>
      <c r="B361" s="13"/>
      <c r="C361" s="13"/>
      <c r="D361" s="6"/>
      <c r="E361" s="13"/>
      <c r="F361" s="8"/>
      <c r="G361" s="8"/>
      <c r="H361" s="8" t="str">
        <f t="shared" si="11"/>
        <v/>
      </c>
      <c r="I361" s="8" t="str">
        <f t="shared" si="12"/>
        <v/>
      </c>
      <c r="J361" s="6"/>
      <c r="K361" s="6"/>
    </row>
    <row r="362" spans="1:11" x14ac:dyDescent="0.25">
      <c r="A362" s="13" t="s">
        <v>893</v>
      </c>
      <c r="B362" s="13"/>
      <c r="C362" s="13"/>
      <c r="D362" s="6"/>
      <c r="E362" s="13"/>
      <c r="F362" s="8"/>
      <c r="G362" s="8"/>
      <c r="H362" s="8" t="str">
        <f t="shared" si="11"/>
        <v/>
      </c>
      <c r="I362" s="8" t="str">
        <f t="shared" si="12"/>
        <v/>
      </c>
      <c r="J362" s="6"/>
      <c r="K362" s="6"/>
    </row>
    <row r="363" spans="1:11" x14ac:dyDescent="0.25">
      <c r="A363" s="13" t="s">
        <v>894</v>
      </c>
      <c r="B363" s="13"/>
      <c r="C363" s="13"/>
      <c r="D363" s="6"/>
      <c r="E363" s="13"/>
      <c r="F363" s="8"/>
      <c r="G363" s="8"/>
      <c r="H363" s="8" t="str">
        <f t="shared" si="11"/>
        <v/>
      </c>
      <c r="I363" s="8" t="str">
        <f t="shared" si="12"/>
        <v/>
      </c>
      <c r="J363" s="6"/>
      <c r="K363" s="6"/>
    </row>
    <row r="364" spans="1:11" x14ac:dyDescent="0.25">
      <c r="A364" s="13" t="s">
        <v>895</v>
      </c>
      <c r="B364" s="13"/>
      <c r="C364" s="13"/>
      <c r="D364" s="6"/>
      <c r="E364" s="13"/>
      <c r="F364" s="8"/>
      <c r="G364" s="8"/>
      <c r="H364" s="8" t="str">
        <f t="shared" si="11"/>
        <v/>
      </c>
      <c r="I364" s="8" t="str">
        <f t="shared" si="12"/>
        <v/>
      </c>
      <c r="J364" s="6"/>
      <c r="K364" s="6"/>
    </row>
    <row r="365" spans="1:11" x14ac:dyDescent="0.25">
      <c r="A365" s="13" t="s">
        <v>896</v>
      </c>
      <c r="B365" s="13"/>
      <c r="C365" s="13"/>
      <c r="D365" s="6"/>
      <c r="E365" s="13"/>
      <c r="F365" s="8"/>
      <c r="G365" s="8"/>
      <c r="H365" s="8" t="str">
        <f t="shared" si="11"/>
        <v/>
      </c>
      <c r="I365" s="8" t="str">
        <f t="shared" si="12"/>
        <v/>
      </c>
      <c r="J365" s="6"/>
      <c r="K365" s="6"/>
    </row>
    <row r="366" spans="1:11" x14ac:dyDescent="0.25">
      <c r="A366" s="13" t="s">
        <v>897</v>
      </c>
      <c r="B366" s="13"/>
      <c r="C366" s="13"/>
      <c r="D366" s="6"/>
      <c r="E366" s="13"/>
      <c r="F366" s="8"/>
      <c r="G366" s="8"/>
      <c r="H366" s="8" t="str">
        <f t="shared" si="11"/>
        <v/>
      </c>
      <c r="I366" s="8" t="str">
        <f t="shared" si="12"/>
        <v/>
      </c>
      <c r="J366" s="6"/>
      <c r="K366" s="6"/>
    </row>
    <row r="367" spans="1:11" x14ac:dyDescent="0.25">
      <c r="A367" s="13" t="s">
        <v>898</v>
      </c>
      <c r="B367" s="13"/>
      <c r="C367" s="13"/>
      <c r="D367" s="6"/>
      <c r="E367" s="13"/>
      <c r="F367" s="8"/>
      <c r="G367" s="8"/>
      <c r="H367" s="8" t="str">
        <f t="shared" si="11"/>
        <v/>
      </c>
      <c r="I367" s="8" t="str">
        <f t="shared" si="12"/>
        <v/>
      </c>
      <c r="J367" s="6"/>
      <c r="K367" s="6"/>
    </row>
    <row r="368" spans="1:11" x14ac:dyDescent="0.25">
      <c r="A368" s="13" t="s">
        <v>899</v>
      </c>
      <c r="B368" s="13"/>
      <c r="C368" s="13"/>
      <c r="D368" s="6"/>
      <c r="E368" s="13"/>
      <c r="F368" s="8"/>
      <c r="G368" s="8"/>
      <c r="H368" s="8" t="str">
        <f t="shared" si="11"/>
        <v/>
      </c>
      <c r="I368" s="8" t="str">
        <f t="shared" si="12"/>
        <v/>
      </c>
      <c r="J368" s="6"/>
      <c r="K368" s="6"/>
    </row>
    <row r="369" spans="1:11" x14ac:dyDescent="0.25">
      <c r="A369" s="13" t="s">
        <v>900</v>
      </c>
      <c r="B369" s="13"/>
      <c r="C369" s="13"/>
      <c r="D369" s="6"/>
      <c r="E369" s="13"/>
      <c r="F369" s="8"/>
      <c r="G369" s="8"/>
      <c r="H369" s="8" t="str">
        <f t="shared" si="11"/>
        <v/>
      </c>
      <c r="I369" s="8" t="str">
        <f t="shared" si="12"/>
        <v/>
      </c>
      <c r="J369" s="6"/>
      <c r="K369" s="6"/>
    </row>
    <row r="370" spans="1:11" x14ac:dyDescent="0.25">
      <c r="A370" s="13" t="s">
        <v>901</v>
      </c>
      <c r="B370" s="13"/>
      <c r="C370" s="13"/>
      <c r="D370" s="6"/>
      <c r="E370" s="13"/>
      <c r="F370" s="8"/>
      <c r="G370" s="8"/>
      <c r="H370" s="8" t="str">
        <f t="shared" si="11"/>
        <v/>
      </c>
      <c r="I370" s="8" t="str">
        <f t="shared" si="12"/>
        <v/>
      </c>
      <c r="J370" s="6"/>
      <c r="K370" s="6"/>
    </row>
    <row r="371" spans="1:11" x14ac:dyDescent="0.25">
      <c r="A371" s="13" t="s">
        <v>902</v>
      </c>
      <c r="B371" s="13"/>
      <c r="C371" s="13"/>
      <c r="D371" s="6"/>
      <c r="E371" s="13"/>
      <c r="F371" s="8"/>
      <c r="G371" s="8"/>
      <c r="H371" s="8" t="str">
        <f t="shared" si="11"/>
        <v/>
      </c>
      <c r="I371" s="8" t="str">
        <f t="shared" si="12"/>
        <v/>
      </c>
      <c r="J371" s="6"/>
      <c r="K371" s="6"/>
    </row>
    <row r="372" spans="1:11" x14ac:dyDescent="0.25">
      <c r="A372" s="13" t="s">
        <v>903</v>
      </c>
      <c r="B372" s="13"/>
      <c r="C372" s="13"/>
      <c r="D372" s="6"/>
      <c r="E372" s="13"/>
      <c r="F372" s="8"/>
      <c r="G372" s="8"/>
      <c r="H372" s="8" t="str">
        <f t="shared" si="11"/>
        <v/>
      </c>
      <c r="I372" s="8" t="str">
        <f t="shared" si="12"/>
        <v/>
      </c>
      <c r="J372" s="6"/>
      <c r="K372" s="6"/>
    </row>
    <row r="373" spans="1:11" x14ac:dyDescent="0.25">
      <c r="A373" s="13" t="s">
        <v>904</v>
      </c>
      <c r="B373" s="13"/>
      <c r="C373" s="13"/>
      <c r="D373" s="6"/>
      <c r="E373" s="13"/>
      <c r="F373" s="8"/>
      <c r="G373" s="8"/>
      <c r="H373" s="8" t="str">
        <f t="shared" si="11"/>
        <v/>
      </c>
      <c r="I373" s="8" t="str">
        <f t="shared" si="12"/>
        <v/>
      </c>
      <c r="J373" s="6"/>
      <c r="K373" s="6"/>
    </row>
    <row r="374" spans="1:11" x14ac:dyDescent="0.25">
      <c r="A374" s="13" t="s">
        <v>905</v>
      </c>
      <c r="B374" s="13"/>
      <c r="C374" s="13"/>
      <c r="D374" s="6"/>
      <c r="E374" s="13"/>
      <c r="F374" s="8"/>
      <c r="G374" s="8"/>
      <c r="H374" s="8" t="str">
        <f t="shared" si="11"/>
        <v/>
      </c>
      <c r="I374" s="8" t="str">
        <f t="shared" si="12"/>
        <v/>
      </c>
      <c r="J374" s="6"/>
      <c r="K374" s="6"/>
    </row>
    <row r="375" spans="1:11" x14ac:dyDescent="0.25">
      <c r="A375" s="13" t="s">
        <v>906</v>
      </c>
      <c r="B375" s="13"/>
      <c r="C375" s="13"/>
      <c r="D375" s="6"/>
      <c r="E375" s="13"/>
      <c r="F375" s="8"/>
      <c r="G375" s="8"/>
      <c r="H375" s="8" t="str">
        <f t="shared" si="11"/>
        <v/>
      </c>
      <c r="I375" s="8" t="str">
        <f t="shared" si="12"/>
        <v/>
      </c>
      <c r="J375" s="6"/>
      <c r="K375" s="6"/>
    </row>
    <row r="376" spans="1:11" x14ac:dyDescent="0.25">
      <c r="A376" s="13" t="s">
        <v>907</v>
      </c>
      <c r="B376" s="13"/>
      <c r="C376" s="13"/>
      <c r="D376" s="6"/>
      <c r="E376" s="13"/>
      <c r="F376" s="8"/>
      <c r="G376" s="8"/>
      <c r="H376" s="8" t="str">
        <f t="shared" si="11"/>
        <v/>
      </c>
      <c r="I376" s="8" t="str">
        <f t="shared" si="12"/>
        <v/>
      </c>
      <c r="J376" s="6"/>
      <c r="K376" s="6"/>
    </row>
    <row r="377" spans="1:11" x14ac:dyDescent="0.25">
      <c r="A377" s="13" t="s">
        <v>908</v>
      </c>
      <c r="B377" s="13"/>
      <c r="C377" s="13"/>
      <c r="D377" s="6"/>
      <c r="E377" s="13"/>
      <c r="F377" s="8"/>
      <c r="G377" s="8"/>
      <c r="H377" s="8" t="str">
        <f t="shared" si="11"/>
        <v/>
      </c>
      <c r="I377" s="8" t="str">
        <f t="shared" si="12"/>
        <v/>
      </c>
      <c r="J377" s="6"/>
      <c r="K377" s="6"/>
    </row>
    <row r="378" spans="1:11" x14ac:dyDescent="0.25">
      <c r="A378" s="13" t="s">
        <v>909</v>
      </c>
      <c r="B378" s="13"/>
      <c r="C378" s="13"/>
      <c r="D378" s="6"/>
      <c r="E378" s="13"/>
      <c r="F378" s="8"/>
      <c r="G378" s="8"/>
      <c r="H378" s="8" t="str">
        <f t="shared" si="11"/>
        <v/>
      </c>
      <c r="I378" s="8" t="str">
        <f t="shared" si="12"/>
        <v/>
      </c>
      <c r="J378" s="6"/>
      <c r="K378" s="6"/>
    </row>
    <row r="379" spans="1:11" x14ac:dyDescent="0.25">
      <c r="A379" s="13" t="s">
        <v>910</v>
      </c>
      <c r="B379" s="13"/>
      <c r="C379" s="13"/>
      <c r="D379" s="6"/>
      <c r="E379" s="13"/>
      <c r="F379" s="8"/>
      <c r="G379" s="8"/>
      <c r="H379" s="8" t="str">
        <f t="shared" si="11"/>
        <v/>
      </c>
      <c r="I379" s="8" t="str">
        <f t="shared" si="12"/>
        <v/>
      </c>
      <c r="J379" s="6"/>
      <c r="K379" s="6"/>
    </row>
    <row r="380" spans="1:11" x14ac:dyDescent="0.25">
      <c r="A380" s="13" t="s">
        <v>911</v>
      </c>
      <c r="B380" s="13"/>
      <c r="C380" s="13"/>
      <c r="D380" s="6"/>
      <c r="E380" s="13"/>
      <c r="F380" s="8"/>
      <c r="G380" s="8"/>
      <c r="H380" s="8" t="str">
        <f t="shared" si="11"/>
        <v/>
      </c>
      <c r="I380" s="8" t="str">
        <f t="shared" si="12"/>
        <v/>
      </c>
      <c r="J380" s="6"/>
      <c r="K380" s="6"/>
    </row>
    <row r="381" spans="1:11" x14ac:dyDescent="0.25">
      <c r="A381" s="13" t="s">
        <v>912</v>
      </c>
      <c r="B381" s="13"/>
      <c r="C381" s="13"/>
      <c r="D381" s="6"/>
      <c r="E381" s="13"/>
      <c r="F381" s="8"/>
      <c r="G381" s="8"/>
      <c r="H381" s="8" t="str">
        <f t="shared" si="11"/>
        <v/>
      </c>
      <c r="I381" s="8" t="str">
        <f t="shared" si="12"/>
        <v/>
      </c>
      <c r="J381" s="6"/>
      <c r="K381" s="6"/>
    </row>
    <row r="382" spans="1:11" x14ac:dyDescent="0.25">
      <c r="A382" s="13" t="s">
        <v>913</v>
      </c>
      <c r="B382" s="13"/>
      <c r="C382" s="13"/>
      <c r="D382" s="6"/>
      <c r="E382" s="13"/>
      <c r="F382" s="8"/>
      <c r="G382" s="8"/>
      <c r="H382" s="8" t="str">
        <f t="shared" si="11"/>
        <v/>
      </c>
      <c r="I382" s="8" t="str">
        <f t="shared" si="12"/>
        <v/>
      </c>
      <c r="J382" s="6"/>
      <c r="K382" s="6"/>
    </row>
    <row r="383" spans="1:11" x14ac:dyDescent="0.25">
      <c r="A383" s="13" t="s">
        <v>914</v>
      </c>
      <c r="B383" s="13"/>
      <c r="C383" s="13"/>
      <c r="D383" s="6"/>
      <c r="E383" s="13"/>
      <c r="F383" s="8"/>
      <c r="G383" s="8"/>
      <c r="H383" s="8" t="str">
        <f t="shared" si="11"/>
        <v/>
      </c>
      <c r="I383" s="8" t="str">
        <f t="shared" si="12"/>
        <v/>
      </c>
      <c r="J383" s="6"/>
      <c r="K383" s="6"/>
    </row>
    <row r="384" spans="1:11" x14ac:dyDescent="0.25">
      <c r="A384" s="13" t="s">
        <v>915</v>
      </c>
      <c r="B384" s="13"/>
      <c r="C384" s="13"/>
      <c r="D384" s="6"/>
      <c r="E384" s="13"/>
      <c r="F384" s="8"/>
      <c r="G384" s="8"/>
      <c r="H384" s="8" t="str">
        <f t="shared" si="11"/>
        <v/>
      </c>
      <c r="I384" s="8" t="str">
        <f t="shared" si="12"/>
        <v/>
      </c>
      <c r="J384" s="6"/>
      <c r="K384" s="6"/>
    </row>
    <row r="385" spans="1:11" x14ac:dyDescent="0.25">
      <c r="A385" s="13" t="s">
        <v>916</v>
      </c>
      <c r="B385" s="13"/>
      <c r="C385" s="13"/>
      <c r="D385" s="6"/>
      <c r="E385" s="13"/>
      <c r="F385" s="8"/>
      <c r="G385" s="8"/>
      <c r="H385" s="8" t="str">
        <f t="shared" si="11"/>
        <v/>
      </c>
      <c r="I385" s="8" t="str">
        <f t="shared" si="12"/>
        <v/>
      </c>
      <c r="J385" s="6"/>
      <c r="K385" s="6"/>
    </row>
    <row r="386" spans="1:11" x14ac:dyDescent="0.25">
      <c r="A386" s="13" t="s">
        <v>917</v>
      </c>
      <c r="B386" s="13"/>
      <c r="C386" s="13"/>
      <c r="D386" s="6"/>
      <c r="E386" s="13"/>
      <c r="F386" s="8"/>
      <c r="G386" s="8"/>
      <c r="H386" s="8" t="str">
        <f t="shared" si="11"/>
        <v/>
      </c>
      <c r="I386" s="8" t="str">
        <f t="shared" si="12"/>
        <v/>
      </c>
      <c r="J386" s="6"/>
      <c r="K386" s="6"/>
    </row>
    <row r="387" spans="1:11" x14ac:dyDescent="0.25">
      <c r="A387" s="13" t="s">
        <v>918</v>
      </c>
      <c r="B387" s="13"/>
      <c r="C387" s="13"/>
      <c r="D387" s="6"/>
      <c r="E387" s="13"/>
      <c r="F387" s="8"/>
      <c r="G387" s="8"/>
      <c r="H387" s="8" t="str">
        <f t="shared" si="11"/>
        <v/>
      </c>
      <c r="I387" s="8" t="str">
        <f t="shared" si="12"/>
        <v/>
      </c>
      <c r="J387" s="6"/>
      <c r="K387" s="6"/>
    </row>
    <row r="388" spans="1:11" x14ac:dyDescent="0.25">
      <c r="A388" s="13" t="s">
        <v>919</v>
      </c>
      <c r="B388" s="13"/>
      <c r="C388" s="13"/>
      <c r="D388" s="6"/>
      <c r="E388" s="13"/>
      <c r="F388" s="8"/>
      <c r="G388" s="8"/>
      <c r="H388" s="8" t="str">
        <f t="shared" si="11"/>
        <v/>
      </c>
      <c r="I388" s="8" t="str">
        <f t="shared" si="12"/>
        <v/>
      </c>
      <c r="J388" s="6"/>
      <c r="K388" s="6"/>
    </row>
    <row r="389" spans="1:11" x14ac:dyDescent="0.25">
      <c r="A389" s="13" t="s">
        <v>920</v>
      </c>
      <c r="B389" s="13"/>
      <c r="C389" s="13"/>
      <c r="D389" s="6"/>
      <c r="E389" s="13"/>
      <c r="F389" s="8"/>
      <c r="G389" s="8"/>
      <c r="H389" s="8" t="str">
        <f t="shared" ref="H389:H452" si="13">IF(AND(ISNUMBER(F389),ISNUMBER(G389),F389&gt;0,G389&gt;0), ROUND(F389*G389, 2), "")</f>
        <v/>
      </c>
      <c r="I389" s="8" t="str">
        <f t="shared" si="12"/>
        <v/>
      </c>
      <c r="J389" s="6"/>
      <c r="K389" s="6"/>
    </row>
    <row r="390" spans="1:11" x14ac:dyDescent="0.25">
      <c r="A390" s="13" t="s">
        <v>921</v>
      </c>
      <c r="B390" s="13"/>
      <c r="C390" s="13"/>
      <c r="D390" s="6"/>
      <c r="E390" s="13"/>
      <c r="F390" s="8"/>
      <c r="G390" s="8"/>
      <c r="H390" s="8" t="str">
        <f t="shared" si="13"/>
        <v/>
      </c>
      <c r="I390" s="8" t="str">
        <f t="shared" si="12"/>
        <v/>
      </c>
      <c r="J390" s="6"/>
      <c r="K390" s="6"/>
    </row>
    <row r="391" spans="1:11" x14ac:dyDescent="0.25">
      <c r="A391" s="13" t="s">
        <v>922</v>
      </c>
      <c r="B391" s="13"/>
      <c r="C391" s="13"/>
      <c r="D391" s="6"/>
      <c r="E391" s="13"/>
      <c r="F391" s="8"/>
      <c r="G391" s="8"/>
      <c r="H391" s="8" t="str">
        <f t="shared" si="13"/>
        <v/>
      </c>
      <c r="I391" s="8" t="str">
        <f t="shared" si="12"/>
        <v/>
      </c>
      <c r="J391" s="6"/>
      <c r="K391" s="6"/>
    </row>
    <row r="392" spans="1:11" x14ac:dyDescent="0.25">
      <c r="A392" s="13" t="s">
        <v>923</v>
      </c>
      <c r="B392" s="13"/>
      <c r="C392" s="13"/>
      <c r="D392" s="6"/>
      <c r="E392" s="13"/>
      <c r="F392" s="8"/>
      <c r="G392" s="8"/>
      <c r="H392" s="8" t="str">
        <f t="shared" si="13"/>
        <v/>
      </c>
      <c r="I392" s="8" t="str">
        <f t="shared" si="12"/>
        <v/>
      </c>
      <c r="J392" s="6"/>
      <c r="K392" s="6"/>
    </row>
    <row r="393" spans="1:11" x14ac:dyDescent="0.25">
      <c r="A393" s="13" t="s">
        <v>924</v>
      </c>
      <c r="B393" s="13"/>
      <c r="C393" s="13"/>
      <c r="D393" s="6"/>
      <c r="E393" s="13"/>
      <c r="F393" s="8"/>
      <c r="G393" s="8"/>
      <c r="H393" s="8" t="str">
        <f t="shared" si="13"/>
        <v/>
      </c>
      <c r="I393" s="8" t="str">
        <f t="shared" si="12"/>
        <v/>
      </c>
      <c r="J393" s="6"/>
      <c r="K393" s="6"/>
    </row>
    <row r="394" spans="1:11" x14ac:dyDescent="0.25">
      <c r="A394" s="13" t="s">
        <v>925</v>
      </c>
      <c r="B394" s="13"/>
      <c r="C394" s="13"/>
      <c r="D394" s="6"/>
      <c r="E394" s="13"/>
      <c r="F394" s="8"/>
      <c r="G394" s="8"/>
      <c r="H394" s="8" t="str">
        <f t="shared" si="13"/>
        <v/>
      </c>
      <c r="I394" s="8" t="str">
        <f t="shared" si="12"/>
        <v/>
      </c>
      <c r="J394" s="6"/>
      <c r="K394" s="6"/>
    </row>
    <row r="395" spans="1:11" x14ac:dyDescent="0.25">
      <c r="A395" s="13" t="s">
        <v>926</v>
      </c>
      <c r="B395" s="13"/>
      <c r="C395" s="13"/>
      <c r="D395" s="6"/>
      <c r="E395" s="13"/>
      <c r="F395" s="8"/>
      <c r="G395" s="8"/>
      <c r="H395" s="8" t="str">
        <f t="shared" si="13"/>
        <v/>
      </c>
      <c r="I395" s="8" t="str">
        <f t="shared" si="12"/>
        <v/>
      </c>
      <c r="J395" s="6"/>
      <c r="K395" s="6"/>
    </row>
    <row r="396" spans="1:11" x14ac:dyDescent="0.25">
      <c r="A396" s="13" t="s">
        <v>927</v>
      </c>
      <c r="B396" s="13"/>
      <c r="C396" s="13"/>
      <c r="D396" s="6"/>
      <c r="E396" s="13"/>
      <c r="F396" s="8"/>
      <c r="G396" s="8"/>
      <c r="H396" s="8" t="str">
        <f t="shared" si="13"/>
        <v/>
      </c>
      <c r="I396" s="8" t="str">
        <f t="shared" ref="I396:I459" si="14">IF(OR(H396="",H396=0), "", IF(ISNUMBER(I395), I395+H396, H396))</f>
        <v/>
      </c>
      <c r="J396" s="6"/>
      <c r="K396" s="6"/>
    </row>
    <row r="397" spans="1:11" x14ac:dyDescent="0.25">
      <c r="A397" s="13" t="s">
        <v>928</v>
      </c>
      <c r="B397" s="13"/>
      <c r="C397" s="13"/>
      <c r="D397" s="6"/>
      <c r="E397" s="13"/>
      <c r="F397" s="8"/>
      <c r="G397" s="8"/>
      <c r="H397" s="8" t="str">
        <f t="shared" si="13"/>
        <v/>
      </c>
      <c r="I397" s="8" t="str">
        <f t="shared" si="14"/>
        <v/>
      </c>
      <c r="J397" s="6"/>
      <c r="K397" s="6"/>
    </row>
    <row r="398" spans="1:11" x14ac:dyDescent="0.25">
      <c r="A398" s="13" t="s">
        <v>929</v>
      </c>
      <c r="B398" s="13"/>
      <c r="C398" s="13"/>
      <c r="D398" s="6"/>
      <c r="E398" s="13"/>
      <c r="F398" s="8"/>
      <c r="G398" s="8"/>
      <c r="H398" s="8" t="str">
        <f t="shared" si="13"/>
        <v/>
      </c>
      <c r="I398" s="8" t="str">
        <f t="shared" si="14"/>
        <v/>
      </c>
      <c r="J398" s="6"/>
      <c r="K398" s="6"/>
    </row>
    <row r="399" spans="1:11" x14ac:dyDescent="0.25">
      <c r="A399" s="13" t="s">
        <v>930</v>
      </c>
      <c r="B399" s="13"/>
      <c r="C399" s="13"/>
      <c r="D399" s="6"/>
      <c r="E399" s="13"/>
      <c r="F399" s="8"/>
      <c r="G399" s="8"/>
      <c r="H399" s="8" t="str">
        <f t="shared" si="13"/>
        <v/>
      </c>
      <c r="I399" s="8" t="str">
        <f t="shared" si="14"/>
        <v/>
      </c>
      <c r="J399" s="6"/>
      <c r="K399" s="6"/>
    </row>
    <row r="400" spans="1:11" x14ac:dyDescent="0.25">
      <c r="A400" s="13" t="s">
        <v>931</v>
      </c>
      <c r="B400" s="13"/>
      <c r="C400" s="13"/>
      <c r="D400" s="6"/>
      <c r="E400" s="13"/>
      <c r="F400" s="8"/>
      <c r="G400" s="8"/>
      <c r="H400" s="8" t="str">
        <f t="shared" si="13"/>
        <v/>
      </c>
      <c r="I400" s="8" t="str">
        <f t="shared" si="14"/>
        <v/>
      </c>
      <c r="J400" s="6"/>
      <c r="K400" s="6"/>
    </row>
    <row r="401" spans="1:11" x14ac:dyDescent="0.25">
      <c r="A401" s="13" t="s">
        <v>932</v>
      </c>
      <c r="B401" s="13"/>
      <c r="C401" s="13"/>
      <c r="D401" s="6"/>
      <c r="E401" s="13"/>
      <c r="F401" s="8"/>
      <c r="G401" s="8"/>
      <c r="H401" s="8" t="str">
        <f t="shared" si="13"/>
        <v/>
      </c>
      <c r="I401" s="8" t="str">
        <f t="shared" si="14"/>
        <v/>
      </c>
      <c r="J401" s="6"/>
      <c r="K401" s="6"/>
    </row>
    <row r="402" spans="1:11" x14ac:dyDescent="0.25">
      <c r="A402" s="13" t="s">
        <v>933</v>
      </c>
      <c r="B402" s="13"/>
      <c r="C402" s="13"/>
      <c r="D402" s="6"/>
      <c r="E402" s="13"/>
      <c r="F402" s="8"/>
      <c r="G402" s="8"/>
      <c r="H402" s="8" t="str">
        <f t="shared" si="13"/>
        <v/>
      </c>
      <c r="I402" s="8" t="str">
        <f t="shared" si="14"/>
        <v/>
      </c>
      <c r="J402" s="6"/>
      <c r="K402" s="6"/>
    </row>
    <row r="403" spans="1:11" x14ac:dyDescent="0.25">
      <c r="A403" s="13" t="s">
        <v>934</v>
      </c>
      <c r="B403" s="13"/>
      <c r="C403" s="13"/>
      <c r="D403" s="6"/>
      <c r="E403" s="13"/>
      <c r="F403" s="8"/>
      <c r="G403" s="8"/>
      <c r="H403" s="8" t="str">
        <f t="shared" si="13"/>
        <v/>
      </c>
      <c r="I403" s="8" t="str">
        <f t="shared" si="14"/>
        <v/>
      </c>
      <c r="J403" s="6"/>
      <c r="K403" s="6"/>
    </row>
    <row r="404" spans="1:11" x14ac:dyDescent="0.25">
      <c r="A404" s="13" t="s">
        <v>935</v>
      </c>
      <c r="B404" s="13"/>
      <c r="C404" s="13"/>
      <c r="D404" s="6"/>
      <c r="E404" s="13"/>
      <c r="F404" s="8"/>
      <c r="G404" s="8"/>
      <c r="H404" s="8" t="str">
        <f t="shared" si="13"/>
        <v/>
      </c>
      <c r="I404" s="8" t="str">
        <f t="shared" si="14"/>
        <v/>
      </c>
      <c r="J404" s="6"/>
      <c r="K404" s="6"/>
    </row>
    <row r="405" spans="1:11" x14ac:dyDescent="0.25">
      <c r="A405" s="13" t="s">
        <v>936</v>
      </c>
      <c r="B405" s="13"/>
      <c r="C405" s="13"/>
      <c r="D405" s="6"/>
      <c r="E405" s="13"/>
      <c r="F405" s="8"/>
      <c r="G405" s="8"/>
      <c r="H405" s="8" t="str">
        <f t="shared" si="13"/>
        <v/>
      </c>
      <c r="I405" s="8" t="str">
        <f t="shared" si="14"/>
        <v/>
      </c>
      <c r="J405" s="6"/>
      <c r="K405" s="6"/>
    </row>
    <row r="406" spans="1:11" x14ac:dyDescent="0.25">
      <c r="A406" s="13" t="s">
        <v>937</v>
      </c>
      <c r="B406" s="13"/>
      <c r="C406" s="13"/>
      <c r="D406" s="6"/>
      <c r="E406" s="13"/>
      <c r="F406" s="8"/>
      <c r="G406" s="8"/>
      <c r="H406" s="8" t="str">
        <f t="shared" si="13"/>
        <v/>
      </c>
      <c r="I406" s="8" t="str">
        <f t="shared" si="14"/>
        <v/>
      </c>
      <c r="J406" s="6"/>
      <c r="K406" s="6"/>
    </row>
    <row r="407" spans="1:11" x14ac:dyDescent="0.25">
      <c r="A407" s="13" t="s">
        <v>938</v>
      </c>
      <c r="B407" s="13"/>
      <c r="C407" s="13"/>
      <c r="D407" s="6"/>
      <c r="E407" s="13"/>
      <c r="F407" s="8"/>
      <c r="G407" s="8"/>
      <c r="H407" s="8" t="str">
        <f t="shared" si="13"/>
        <v/>
      </c>
      <c r="I407" s="8" t="str">
        <f t="shared" si="14"/>
        <v/>
      </c>
      <c r="J407" s="6"/>
      <c r="K407" s="6"/>
    </row>
    <row r="408" spans="1:11" x14ac:dyDescent="0.25">
      <c r="A408" s="13" t="s">
        <v>939</v>
      </c>
      <c r="B408" s="13"/>
      <c r="C408" s="13"/>
      <c r="D408" s="6"/>
      <c r="E408" s="13"/>
      <c r="F408" s="8"/>
      <c r="G408" s="8"/>
      <c r="H408" s="8" t="str">
        <f t="shared" si="13"/>
        <v/>
      </c>
      <c r="I408" s="8" t="str">
        <f t="shared" si="14"/>
        <v/>
      </c>
      <c r="J408" s="6"/>
      <c r="K408" s="6"/>
    </row>
    <row r="409" spans="1:11" x14ac:dyDescent="0.25">
      <c r="A409" s="13" t="s">
        <v>940</v>
      </c>
      <c r="B409" s="13"/>
      <c r="C409" s="13"/>
      <c r="D409" s="6"/>
      <c r="E409" s="13"/>
      <c r="F409" s="8"/>
      <c r="G409" s="8"/>
      <c r="H409" s="8" t="str">
        <f t="shared" si="13"/>
        <v/>
      </c>
      <c r="I409" s="8" t="str">
        <f t="shared" si="14"/>
        <v/>
      </c>
      <c r="J409" s="6"/>
      <c r="K409" s="6"/>
    </row>
    <row r="410" spans="1:11" x14ac:dyDescent="0.25">
      <c r="A410" s="13" t="s">
        <v>941</v>
      </c>
      <c r="B410" s="13"/>
      <c r="C410" s="13"/>
      <c r="D410" s="6"/>
      <c r="E410" s="13"/>
      <c r="F410" s="8"/>
      <c r="G410" s="8"/>
      <c r="H410" s="8" t="str">
        <f t="shared" si="13"/>
        <v/>
      </c>
      <c r="I410" s="8" t="str">
        <f t="shared" si="14"/>
        <v/>
      </c>
      <c r="J410" s="6"/>
      <c r="K410" s="6"/>
    </row>
    <row r="411" spans="1:11" x14ac:dyDescent="0.25">
      <c r="A411" s="13" t="s">
        <v>942</v>
      </c>
      <c r="B411" s="13"/>
      <c r="C411" s="13"/>
      <c r="D411" s="6"/>
      <c r="E411" s="13"/>
      <c r="F411" s="8"/>
      <c r="G411" s="8"/>
      <c r="H411" s="8" t="str">
        <f t="shared" si="13"/>
        <v/>
      </c>
      <c r="I411" s="8" t="str">
        <f t="shared" si="14"/>
        <v/>
      </c>
      <c r="J411" s="6"/>
      <c r="K411" s="6"/>
    </row>
    <row r="412" spans="1:11" x14ac:dyDescent="0.25">
      <c r="A412" s="13" t="s">
        <v>943</v>
      </c>
      <c r="B412" s="13"/>
      <c r="C412" s="13"/>
      <c r="D412" s="6"/>
      <c r="E412" s="13"/>
      <c r="F412" s="8"/>
      <c r="G412" s="8"/>
      <c r="H412" s="8" t="str">
        <f t="shared" si="13"/>
        <v/>
      </c>
      <c r="I412" s="8" t="str">
        <f t="shared" si="14"/>
        <v/>
      </c>
      <c r="J412" s="6"/>
      <c r="K412" s="6"/>
    </row>
    <row r="413" spans="1:11" x14ac:dyDescent="0.25">
      <c r="A413" s="13" t="s">
        <v>944</v>
      </c>
      <c r="B413" s="13"/>
      <c r="C413" s="13"/>
      <c r="D413" s="6"/>
      <c r="E413" s="13"/>
      <c r="F413" s="8"/>
      <c r="G413" s="8"/>
      <c r="H413" s="8" t="str">
        <f t="shared" si="13"/>
        <v/>
      </c>
      <c r="I413" s="8" t="str">
        <f t="shared" si="14"/>
        <v/>
      </c>
      <c r="J413" s="6"/>
      <c r="K413" s="6"/>
    </row>
    <row r="414" spans="1:11" x14ac:dyDescent="0.25">
      <c r="A414" s="13" t="s">
        <v>945</v>
      </c>
      <c r="B414" s="13"/>
      <c r="C414" s="13"/>
      <c r="D414" s="6"/>
      <c r="E414" s="13"/>
      <c r="F414" s="8"/>
      <c r="G414" s="8"/>
      <c r="H414" s="8" t="str">
        <f t="shared" si="13"/>
        <v/>
      </c>
      <c r="I414" s="8" t="str">
        <f t="shared" si="14"/>
        <v/>
      </c>
      <c r="J414" s="6"/>
      <c r="K414" s="6"/>
    </row>
    <row r="415" spans="1:11" x14ac:dyDescent="0.25">
      <c r="A415" s="13" t="s">
        <v>946</v>
      </c>
      <c r="B415" s="13"/>
      <c r="C415" s="13"/>
      <c r="D415" s="6"/>
      <c r="E415" s="13"/>
      <c r="F415" s="8"/>
      <c r="G415" s="8"/>
      <c r="H415" s="8" t="str">
        <f t="shared" si="13"/>
        <v/>
      </c>
      <c r="I415" s="8" t="str">
        <f t="shared" si="14"/>
        <v/>
      </c>
      <c r="J415" s="6"/>
      <c r="K415" s="6"/>
    </row>
    <row r="416" spans="1:11" x14ac:dyDescent="0.25">
      <c r="A416" s="13" t="s">
        <v>947</v>
      </c>
      <c r="B416" s="13"/>
      <c r="C416" s="13"/>
      <c r="D416" s="6"/>
      <c r="E416" s="13"/>
      <c r="F416" s="8"/>
      <c r="G416" s="8"/>
      <c r="H416" s="8" t="str">
        <f t="shared" si="13"/>
        <v/>
      </c>
      <c r="I416" s="8" t="str">
        <f t="shared" si="14"/>
        <v/>
      </c>
      <c r="J416" s="6"/>
      <c r="K416" s="6"/>
    </row>
    <row r="417" spans="1:11" x14ac:dyDescent="0.25">
      <c r="A417" s="13" t="s">
        <v>948</v>
      </c>
      <c r="B417" s="13"/>
      <c r="C417" s="13"/>
      <c r="D417" s="6"/>
      <c r="E417" s="13"/>
      <c r="F417" s="8"/>
      <c r="G417" s="8"/>
      <c r="H417" s="8" t="str">
        <f t="shared" si="13"/>
        <v/>
      </c>
      <c r="I417" s="8" t="str">
        <f t="shared" si="14"/>
        <v/>
      </c>
      <c r="J417" s="6"/>
      <c r="K417" s="6"/>
    </row>
    <row r="418" spans="1:11" x14ac:dyDescent="0.25">
      <c r="A418" s="13" t="s">
        <v>949</v>
      </c>
      <c r="B418" s="13"/>
      <c r="C418" s="13"/>
      <c r="D418" s="6"/>
      <c r="E418" s="13"/>
      <c r="F418" s="8"/>
      <c r="G418" s="8"/>
      <c r="H418" s="8" t="str">
        <f t="shared" si="13"/>
        <v/>
      </c>
      <c r="I418" s="8" t="str">
        <f t="shared" si="14"/>
        <v/>
      </c>
      <c r="J418" s="6"/>
      <c r="K418" s="6"/>
    </row>
    <row r="419" spans="1:11" x14ac:dyDescent="0.25">
      <c r="A419" s="13" t="s">
        <v>950</v>
      </c>
      <c r="B419" s="13"/>
      <c r="C419" s="13"/>
      <c r="D419" s="6"/>
      <c r="E419" s="13"/>
      <c r="F419" s="8"/>
      <c r="G419" s="8"/>
      <c r="H419" s="8" t="str">
        <f t="shared" si="13"/>
        <v/>
      </c>
      <c r="I419" s="8" t="str">
        <f t="shared" si="14"/>
        <v/>
      </c>
      <c r="J419" s="6"/>
      <c r="K419" s="6"/>
    </row>
    <row r="420" spans="1:11" x14ac:dyDescent="0.25">
      <c r="A420" s="13" t="s">
        <v>951</v>
      </c>
      <c r="B420" s="13"/>
      <c r="C420" s="13"/>
      <c r="D420" s="6"/>
      <c r="E420" s="13"/>
      <c r="F420" s="8"/>
      <c r="G420" s="8"/>
      <c r="H420" s="8" t="str">
        <f t="shared" si="13"/>
        <v/>
      </c>
      <c r="I420" s="8" t="str">
        <f t="shared" si="14"/>
        <v/>
      </c>
      <c r="J420" s="6"/>
      <c r="K420" s="6"/>
    </row>
    <row r="421" spans="1:11" x14ac:dyDescent="0.25">
      <c r="A421" s="13" t="s">
        <v>952</v>
      </c>
      <c r="B421" s="13"/>
      <c r="C421" s="13"/>
      <c r="D421" s="6"/>
      <c r="E421" s="13"/>
      <c r="F421" s="8"/>
      <c r="G421" s="8"/>
      <c r="H421" s="8" t="str">
        <f t="shared" si="13"/>
        <v/>
      </c>
      <c r="I421" s="8" t="str">
        <f t="shared" si="14"/>
        <v/>
      </c>
      <c r="J421" s="6"/>
      <c r="K421" s="6"/>
    </row>
    <row r="422" spans="1:11" x14ac:dyDescent="0.25">
      <c r="A422" s="13" t="s">
        <v>953</v>
      </c>
      <c r="B422" s="13"/>
      <c r="C422" s="13"/>
      <c r="D422" s="6"/>
      <c r="E422" s="13"/>
      <c r="F422" s="8"/>
      <c r="G422" s="8"/>
      <c r="H422" s="8" t="str">
        <f t="shared" si="13"/>
        <v/>
      </c>
      <c r="I422" s="8" t="str">
        <f t="shared" si="14"/>
        <v/>
      </c>
      <c r="J422" s="6"/>
      <c r="K422" s="6"/>
    </row>
    <row r="423" spans="1:11" x14ac:dyDescent="0.25">
      <c r="A423" s="13" t="s">
        <v>954</v>
      </c>
      <c r="B423" s="13"/>
      <c r="C423" s="13"/>
      <c r="D423" s="6"/>
      <c r="E423" s="13"/>
      <c r="F423" s="8"/>
      <c r="G423" s="8"/>
      <c r="H423" s="8" t="str">
        <f t="shared" si="13"/>
        <v/>
      </c>
      <c r="I423" s="8" t="str">
        <f t="shared" si="14"/>
        <v/>
      </c>
      <c r="J423" s="6"/>
      <c r="K423" s="6"/>
    </row>
    <row r="424" spans="1:11" x14ac:dyDescent="0.25">
      <c r="A424" s="13" t="s">
        <v>955</v>
      </c>
      <c r="B424" s="13"/>
      <c r="C424" s="13"/>
      <c r="D424" s="6"/>
      <c r="E424" s="13"/>
      <c r="F424" s="8"/>
      <c r="G424" s="8"/>
      <c r="H424" s="8" t="str">
        <f t="shared" si="13"/>
        <v/>
      </c>
      <c r="I424" s="8" t="str">
        <f t="shared" si="14"/>
        <v/>
      </c>
      <c r="J424" s="6"/>
      <c r="K424" s="6"/>
    </row>
    <row r="425" spans="1:11" x14ac:dyDescent="0.25">
      <c r="A425" s="13" t="s">
        <v>956</v>
      </c>
      <c r="B425" s="13"/>
      <c r="C425" s="13"/>
      <c r="D425" s="6"/>
      <c r="E425" s="13"/>
      <c r="F425" s="8"/>
      <c r="G425" s="8"/>
      <c r="H425" s="8" t="str">
        <f t="shared" si="13"/>
        <v/>
      </c>
      <c r="I425" s="8" t="str">
        <f t="shared" si="14"/>
        <v/>
      </c>
      <c r="J425" s="6"/>
      <c r="K425" s="6"/>
    </row>
    <row r="426" spans="1:11" x14ac:dyDescent="0.25">
      <c r="A426" s="13" t="s">
        <v>957</v>
      </c>
      <c r="B426" s="13"/>
      <c r="C426" s="13"/>
      <c r="D426" s="6"/>
      <c r="E426" s="13"/>
      <c r="F426" s="8"/>
      <c r="G426" s="8"/>
      <c r="H426" s="8" t="str">
        <f t="shared" si="13"/>
        <v/>
      </c>
      <c r="I426" s="8" t="str">
        <f t="shared" si="14"/>
        <v/>
      </c>
      <c r="J426" s="6"/>
      <c r="K426" s="6"/>
    </row>
    <row r="427" spans="1:11" x14ac:dyDescent="0.25">
      <c r="A427" s="13" t="s">
        <v>958</v>
      </c>
      <c r="B427" s="13"/>
      <c r="C427" s="13"/>
      <c r="D427" s="6"/>
      <c r="E427" s="13"/>
      <c r="F427" s="8"/>
      <c r="G427" s="8"/>
      <c r="H427" s="8" t="str">
        <f t="shared" si="13"/>
        <v/>
      </c>
      <c r="I427" s="8" t="str">
        <f t="shared" si="14"/>
        <v/>
      </c>
      <c r="J427" s="6"/>
      <c r="K427" s="6"/>
    </row>
    <row r="428" spans="1:11" x14ac:dyDescent="0.25">
      <c r="A428" s="13" t="s">
        <v>959</v>
      </c>
      <c r="B428" s="13"/>
      <c r="C428" s="13"/>
      <c r="D428" s="6"/>
      <c r="E428" s="13"/>
      <c r="F428" s="8"/>
      <c r="G428" s="8"/>
      <c r="H428" s="8" t="str">
        <f t="shared" si="13"/>
        <v/>
      </c>
      <c r="I428" s="8" t="str">
        <f t="shared" si="14"/>
        <v/>
      </c>
      <c r="J428" s="6"/>
      <c r="K428" s="6"/>
    </row>
    <row r="429" spans="1:11" x14ac:dyDescent="0.25">
      <c r="A429" s="13" t="s">
        <v>960</v>
      </c>
      <c r="B429" s="13"/>
      <c r="C429" s="13"/>
      <c r="D429" s="6"/>
      <c r="E429" s="13"/>
      <c r="F429" s="8"/>
      <c r="G429" s="8"/>
      <c r="H429" s="8" t="str">
        <f t="shared" si="13"/>
        <v/>
      </c>
      <c r="I429" s="8" t="str">
        <f t="shared" si="14"/>
        <v/>
      </c>
      <c r="J429" s="6"/>
      <c r="K429" s="6"/>
    </row>
    <row r="430" spans="1:11" x14ac:dyDescent="0.25">
      <c r="A430" s="13" t="s">
        <v>961</v>
      </c>
      <c r="B430" s="13"/>
      <c r="C430" s="13"/>
      <c r="D430" s="6"/>
      <c r="E430" s="13"/>
      <c r="F430" s="8"/>
      <c r="G430" s="8"/>
      <c r="H430" s="8" t="str">
        <f t="shared" si="13"/>
        <v/>
      </c>
      <c r="I430" s="8" t="str">
        <f t="shared" si="14"/>
        <v/>
      </c>
      <c r="J430" s="6"/>
      <c r="K430" s="6"/>
    </row>
    <row r="431" spans="1:11" x14ac:dyDescent="0.25">
      <c r="A431" s="13" t="s">
        <v>962</v>
      </c>
      <c r="B431" s="13"/>
      <c r="C431" s="13"/>
      <c r="D431" s="6"/>
      <c r="E431" s="13"/>
      <c r="F431" s="8"/>
      <c r="G431" s="8"/>
      <c r="H431" s="8" t="str">
        <f t="shared" si="13"/>
        <v/>
      </c>
      <c r="I431" s="8" t="str">
        <f t="shared" si="14"/>
        <v/>
      </c>
      <c r="J431" s="6"/>
      <c r="K431" s="6"/>
    </row>
    <row r="432" spans="1:11" x14ac:dyDescent="0.25">
      <c r="A432" s="13" t="s">
        <v>963</v>
      </c>
      <c r="B432" s="13"/>
      <c r="C432" s="13"/>
      <c r="D432" s="6"/>
      <c r="E432" s="13"/>
      <c r="F432" s="8"/>
      <c r="G432" s="8"/>
      <c r="H432" s="8" t="str">
        <f t="shared" si="13"/>
        <v/>
      </c>
      <c r="I432" s="8" t="str">
        <f t="shared" si="14"/>
        <v/>
      </c>
      <c r="J432" s="6"/>
      <c r="K432" s="6"/>
    </row>
    <row r="433" spans="1:11" x14ac:dyDescent="0.25">
      <c r="A433" s="13" t="s">
        <v>964</v>
      </c>
      <c r="B433" s="13"/>
      <c r="C433" s="13"/>
      <c r="D433" s="6"/>
      <c r="E433" s="13"/>
      <c r="F433" s="8"/>
      <c r="G433" s="8"/>
      <c r="H433" s="8" t="str">
        <f t="shared" si="13"/>
        <v/>
      </c>
      <c r="I433" s="8" t="str">
        <f t="shared" si="14"/>
        <v/>
      </c>
      <c r="J433" s="6"/>
      <c r="K433" s="6"/>
    </row>
    <row r="434" spans="1:11" x14ac:dyDescent="0.25">
      <c r="A434" s="13" t="s">
        <v>965</v>
      </c>
      <c r="B434" s="13"/>
      <c r="C434" s="13"/>
      <c r="D434" s="6"/>
      <c r="E434" s="13"/>
      <c r="F434" s="8"/>
      <c r="G434" s="8"/>
      <c r="H434" s="8" t="str">
        <f t="shared" si="13"/>
        <v/>
      </c>
      <c r="I434" s="8" t="str">
        <f t="shared" si="14"/>
        <v/>
      </c>
      <c r="J434" s="6"/>
      <c r="K434" s="6"/>
    </row>
    <row r="435" spans="1:11" x14ac:dyDescent="0.25">
      <c r="A435" s="13" t="s">
        <v>966</v>
      </c>
      <c r="B435" s="13"/>
      <c r="C435" s="13"/>
      <c r="D435" s="6"/>
      <c r="E435" s="13"/>
      <c r="F435" s="8"/>
      <c r="G435" s="8"/>
      <c r="H435" s="8" t="str">
        <f t="shared" si="13"/>
        <v/>
      </c>
      <c r="I435" s="8" t="str">
        <f t="shared" si="14"/>
        <v/>
      </c>
      <c r="J435" s="6"/>
      <c r="K435" s="6"/>
    </row>
    <row r="436" spans="1:11" x14ac:dyDescent="0.25">
      <c r="A436" s="13" t="s">
        <v>967</v>
      </c>
      <c r="B436" s="13"/>
      <c r="C436" s="13"/>
      <c r="D436" s="6"/>
      <c r="E436" s="13"/>
      <c r="F436" s="8"/>
      <c r="G436" s="8"/>
      <c r="H436" s="8" t="str">
        <f t="shared" si="13"/>
        <v/>
      </c>
      <c r="I436" s="8" t="str">
        <f t="shared" si="14"/>
        <v/>
      </c>
      <c r="J436" s="6"/>
      <c r="K436" s="6"/>
    </row>
    <row r="437" spans="1:11" x14ac:dyDescent="0.25">
      <c r="A437" s="13" t="s">
        <v>968</v>
      </c>
      <c r="B437" s="13"/>
      <c r="C437" s="13"/>
      <c r="D437" s="6"/>
      <c r="E437" s="13"/>
      <c r="F437" s="8"/>
      <c r="G437" s="8"/>
      <c r="H437" s="8" t="str">
        <f t="shared" si="13"/>
        <v/>
      </c>
      <c r="I437" s="8" t="str">
        <f t="shared" si="14"/>
        <v/>
      </c>
      <c r="J437" s="6"/>
      <c r="K437" s="6"/>
    </row>
    <row r="438" spans="1:11" x14ac:dyDescent="0.25">
      <c r="A438" s="13" t="s">
        <v>969</v>
      </c>
      <c r="B438" s="13"/>
      <c r="C438" s="13"/>
      <c r="D438" s="6"/>
      <c r="E438" s="13"/>
      <c r="F438" s="8"/>
      <c r="G438" s="8"/>
      <c r="H438" s="8" t="str">
        <f t="shared" si="13"/>
        <v/>
      </c>
      <c r="I438" s="8" t="str">
        <f t="shared" si="14"/>
        <v/>
      </c>
      <c r="J438" s="6"/>
      <c r="K438" s="6"/>
    </row>
    <row r="439" spans="1:11" x14ac:dyDescent="0.25">
      <c r="A439" s="13" t="s">
        <v>970</v>
      </c>
      <c r="B439" s="13"/>
      <c r="C439" s="13"/>
      <c r="D439" s="6"/>
      <c r="E439" s="13"/>
      <c r="F439" s="8"/>
      <c r="G439" s="8"/>
      <c r="H439" s="8" t="str">
        <f t="shared" si="13"/>
        <v/>
      </c>
      <c r="I439" s="8" t="str">
        <f t="shared" si="14"/>
        <v/>
      </c>
      <c r="J439" s="6"/>
      <c r="K439" s="6"/>
    </row>
    <row r="440" spans="1:11" x14ac:dyDescent="0.25">
      <c r="A440" s="13" t="s">
        <v>971</v>
      </c>
      <c r="B440" s="13"/>
      <c r="C440" s="13"/>
      <c r="D440" s="6"/>
      <c r="E440" s="13"/>
      <c r="F440" s="8"/>
      <c r="G440" s="8"/>
      <c r="H440" s="8" t="str">
        <f t="shared" si="13"/>
        <v/>
      </c>
      <c r="I440" s="8" t="str">
        <f t="shared" si="14"/>
        <v/>
      </c>
      <c r="J440" s="6"/>
      <c r="K440" s="6"/>
    </row>
    <row r="441" spans="1:11" x14ac:dyDescent="0.25">
      <c r="A441" s="13" t="s">
        <v>972</v>
      </c>
      <c r="B441" s="13"/>
      <c r="C441" s="13"/>
      <c r="D441" s="6"/>
      <c r="E441" s="13"/>
      <c r="F441" s="8"/>
      <c r="G441" s="8"/>
      <c r="H441" s="8" t="str">
        <f t="shared" si="13"/>
        <v/>
      </c>
      <c r="I441" s="8" t="str">
        <f t="shared" si="14"/>
        <v/>
      </c>
      <c r="J441" s="6"/>
      <c r="K441" s="6"/>
    </row>
    <row r="442" spans="1:11" x14ac:dyDescent="0.25">
      <c r="A442" s="13" t="s">
        <v>973</v>
      </c>
      <c r="B442" s="13"/>
      <c r="C442" s="13"/>
      <c r="D442" s="6"/>
      <c r="E442" s="13"/>
      <c r="F442" s="8"/>
      <c r="G442" s="8"/>
      <c r="H442" s="8" t="str">
        <f t="shared" si="13"/>
        <v/>
      </c>
      <c r="I442" s="8" t="str">
        <f t="shared" si="14"/>
        <v/>
      </c>
      <c r="J442" s="6"/>
      <c r="K442" s="6"/>
    </row>
    <row r="443" spans="1:11" x14ac:dyDescent="0.25">
      <c r="A443" s="13" t="s">
        <v>974</v>
      </c>
      <c r="B443" s="13"/>
      <c r="C443" s="13"/>
      <c r="D443" s="6"/>
      <c r="E443" s="13"/>
      <c r="F443" s="8"/>
      <c r="G443" s="8"/>
      <c r="H443" s="8" t="str">
        <f t="shared" si="13"/>
        <v/>
      </c>
      <c r="I443" s="8" t="str">
        <f t="shared" si="14"/>
        <v/>
      </c>
      <c r="J443" s="6"/>
      <c r="K443" s="6"/>
    </row>
    <row r="444" spans="1:11" x14ac:dyDescent="0.25">
      <c r="A444" s="13" t="s">
        <v>975</v>
      </c>
      <c r="B444" s="13"/>
      <c r="C444" s="13"/>
      <c r="D444" s="6"/>
      <c r="E444" s="13"/>
      <c r="F444" s="8"/>
      <c r="G444" s="8"/>
      <c r="H444" s="8" t="str">
        <f t="shared" si="13"/>
        <v/>
      </c>
      <c r="I444" s="8" t="str">
        <f t="shared" si="14"/>
        <v/>
      </c>
      <c r="J444" s="6"/>
      <c r="K444" s="6"/>
    </row>
    <row r="445" spans="1:11" x14ac:dyDescent="0.25">
      <c r="A445" s="13" t="s">
        <v>976</v>
      </c>
      <c r="B445" s="13"/>
      <c r="C445" s="13"/>
      <c r="D445" s="6"/>
      <c r="E445" s="13"/>
      <c r="F445" s="8"/>
      <c r="G445" s="8"/>
      <c r="H445" s="8" t="str">
        <f t="shared" si="13"/>
        <v/>
      </c>
      <c r="I445" s="8" t="str">
        <f t="shared" si="14"/>
        <v/>
      </c>
      <c r="J445" s="6"/>
      <c r="K445" s="6"/>
    </row>
    <row r="446" spans="1:11" x14ac:dyDescent="0.25">
      <c r="A446" s="13" t="s">
        <v>977</v>
      </c>
      <c r="B446" s="13"/>
      <c r="C446" s="13"/>
      <c r="D446" s="6"/>
      <c r="E446" s="13"/>
      <c r="F446" s="8"/>
      <c r="G446" s="8"/>
      <c r="H446" s="8" t="str">
        <f t="shared" si="13"/>
        <v/>
      </c>
      <c r="I446" s="8" t="str">
        <f t="shared" si="14"/>
        <v/>
      </c>
      <c r="J446" s="6"/>
      <c r="K446" s="6"/>
    </row>
    <row r="447" spans="1:11" x14ac:dyDescent="0.25">
      <c r="A447" s="13" t="s">
        <v>978</v>
      </c>
      <c r="B447" s="13"/>
      <c r="C447" s="13"/>
      <c r="D447" s="6"/>
      <c r="E447" s="13"/>
      <c r="F447" s="8"/>
      <c r="G447" s="8"/>
      <c r="H447" s="8" t="str">
        <f t="shared" si="13"/>
        <v/>
      </c>
      <c r="I447" s="8" t="str">
        <f t="shared" si="14"/>
        <v/>
      </c>
      <c r="J447" s="6"/>
      <c r="K447" s="6"/>
    </row>
    <row r="448" spans="1:11" x14ac:dyDescent="0.25">
      <c r="A448" s="13" t="s">
        <v>979</v>
      </c>
      <c r="B448" s="13"/>
      <c r="C448" s="13"/>
      <c r="D448" s="6"/>
      <c r="E448" s="13"/>
      <c r="F448" s="8"/>
      <c r="G448" s="8"/>
      <c r="H448" s="8" t="str">
        <f t="shared" si="13"/>
        <v/>
      </c>
      <c r="I448" s="8" t="str">
        <f t="shared" si="14"/>
        <v/>
      </c>
      <c r="J448" s="6"/>
      <c r="K448" s="6"/>
    </row>
    <row r="449" spans="1:11" x14ac:dyDescent="0.25">
      <c r="A449" s="13" t="s">
        <v>980</v>
      </c>
      <c r="B449" s="13"/>
      <c r="C449" s="13"/>
      <c r="D449" s="6"/>
      <c r="E449" s="13"/>
      <c r="F449" s="8"/>
      <c r="G449" s="8"/>
      <c r="H449" s="8" t="str">
        <f t="shared" si="13"/>
        <v/>
      </c>
      <c r="I449" s="8" t="str">
        <f t="shared" si="14"/>
        <v/>
      </c>
      <c r="J449" s="6"/>
      <c r="K449" s="6"/>
    </row>
    <row r="450" spans="1:11" x14ac:dyDescent="0.25">
      <c r="A450" s="13" t="s">
        <v>981</v>
      </c>
      <c r="B450" s="13"/>
      <c r="C450" s="13"/>
      <c r="D450" s="6"/>
      <c r="E450" s="13"/>
      <c r="F450" s="8"/>
      <c r="G450" s="8"/>
      <c r="H450" s="8" t="str">
        <f t="shared" si="13"/>
        <v/>
      </c>
      <c r="I450" s="8" t="str">
        <f t="shared" si="14"/>
        <v/>
      </c>
      <c r="J450" s="6"/>
      <c r="K450" s="6"/>
    </row>
    <row r="451" spans="1:11" x14ac:dyDescent="0.25">
      <c r="A451" s="13" t="s">
        <v>982</v>
      </c>
      <c r="B451" s="13"/>
      <c r="C451" s="13"/>
      <c r="D451" s="6"/>
      <c r="E451" s="13"/>
      <c r="F451" s="8"/>
      <c r="G451" s="8"/>
      <c r="H451" s="8" t="str">
        <f t="shared" si="13"/>
        <v/>
      </c>
      <c r="I451" s="8" t="str">
        <f t="shared" si="14"/>
        <v/>
      </c>
      <c r="J451" s="6"/>
      <c r="K451" s="6"/>
    </row>
    <row r="452" spans="1:11" x14ac:dyDescent="0.25">
      <c r="A452" s="13" t="s">
        <v>983</v>
      </c>
      <c r="B452" s="13"/>
      <c r="C452" s="13"/>
      <c r="D452" s="6"/>
      <c r="E452" s="13"/>
      <c r="F452" s="8"/>
      <c r="G452" s="8"/>
      <c r="H452" s="8" t="str">
        <f t="shared" si="13"/>
        <v/>
      </c>
      <c r="I452" s="8" t="str">
        <f t="shared" si="14"/>
        <v/>
      </c>
      <c r="J452" s="6"/>
      <c r="K452" s="6"/>
    </row>
    <row r="453" spans="1:11" x14ac:dyDescent="0.25">
      <c r="A453" s="13" t="s">
        <v>984</v>
      </c>
      <c r="B453" s="13"/>
      <c r="C453" s="13"/>
      <c r="D453" s="6"/>
      <c r="E453" s="13"/>
      <c r="F453" s="8"/>
      <c r="G453" s="8"/>
      <c r="H453" s="8" t="str">
        <f t="shared" ref="H453:H499" si="15">IF(AND(ISNUMBER(F453),ISNUMBER(G453),F453&gt;0,G453&gt;0), ROUND(F453*G453, 2), "")</f>
        <v/>
      </c>
      <c r="I453" s="8" t="str">
        <f t="shared" si="14"/>
        <v/>
      </c>
      <c r="J453" s="6"/>
      <c r="K453" s="6"/>
    </row>
    <row r="454" spans="1:11" x14ac:dyDescent="0.25">
      <c r="A454" s="13" t="s">
        <v>985</v>
      </c>
      <c r="B454" s="13"/>
      <c r="C454" s="13"/>
      <c r="D454" s="6"/>
      <c r="E454" s="13"/>
      <c r="F454" s="8"/>
      <c r="G454" s="8"/>
      <c r="H454" s="8" t="str">
        <f t="shared" si="15"/>
        <v/>
      </c>
      <c r="I454" s="8" t="str">
        <f t="shared" si="14"/>
        <v/>
      </c>
      <c r="J454" s="6"/>
      <c r="K454" s="6"/>
    </row>
    <row r="455" spans="1:11" x14ac:dyDescent="0.25">
      <c r="A455" s="13" t="s">
        <v>986</v>
      </c>
      <c r="B455" s="13"/>
      <c r="C455" s="13"/>
      <c r="D455" s="6"/>
      <c r="E455" s="13"/>
      <c r="F455" s="8"/>
      <c r="G455" s="8"/>
      <c r="H455" s="8" t="str">
        <f t="shared" si="15"/>
        <v/>
      </c>
      <c r="I455" s="8" t="str">
        <f t="shared" si="14"/>
        <v/>
      </c>
      <c r="J455" s="6"/>
      <c r="K455" s="6"/>
    </row>
    <row r="456" spans="1:11" x14ac:dyDescent="0.25">
      <c r="A456" s="13" t="s">
        <v>987</v>
      </c>
      <c r="B456" s="13"/>
      <c r="C456" s="13"/>
      <c r="D456" s="6"/>
      <c r="E456" s="13"/>
      <c r="F456" s="8"/>
      <c r="G456" s="8"/>
      <c r="H456" s="8" t="str">
        <f t="shared" si="15"/>
        <v/>
      </c>
      <c r="I456" s="8" t="str">
        <f t="shared" si="14"/>
        <v/>
      </c>
      <c r="J456" s="6"/>
      <c r="K456" s="6"/>
    </row>
    <row r="457" spans="1:11" x14ac:dyDescent="0.25">
      <c r="A457" s="13" t="s">
        <v>988</v>
      </c>
      <c r="B457" s="13"/>
      <c r="C457" s="13"/>
      <c r="D457" s="6"/>
      <c r="E457" s="13"/>
      <c r="F457" s="8"/>
      <c r="G457" s="8"/>
      <c r="H457" s="8" t="str">
        <f t="shared" si="15"/>
        <v/>
      </c>
      <c r="I457" s="8" t="str">
        <f t="shared" si="14"/>
        <v/>
      </c>
      <c r="J457" s="6"/>
      <c r="K457" s="6"/>
    </row>
    <row r="458" spans="1:11" x14ac:dyDescent="0.25">
      <c r="A458" s="13" t="s">
        <v>989</v>
      </c>
      <c r="B458" s="13"/>
      <c r="C458" s="13"/>
      <c r="D458" s="6"/>
      <c r="E458" s="13"/>
      <c r="F458" s="8"/>
      <c r="G458" s="8"/>
      <c r="H458" s="8" t="str">
        <f t="shared" si="15"/>
        <v/>
      </c>
      <c r="I458" s="8" t="str">
        <f t="shared" si="14"/>
        <v/>
      </c>
      <c r="J458" s="6"/>
      <c r="K458" s="6"/>
    </row>
    <row r="459" spans="1:11" x14ac:dyDescent="0.25">
      <c r="A459" s="13" t="s">
        <v>990</v>
      </c>
      <c r="B459" s="13"/>
      <c r="C459" s="13"/>
      <c r="D459" s="6"/>
      <c r="E459" s="13"/>
      <c r="F459" s="8"/>
      <c r="G459" s="8"/>
      <c r="H459" s="8" t="str">
        <f t="shared" si="15"/>
        <v/>
      </c>
      <c r="I459" s="8" t="str">
        <f t="shared" si="14"/>
        <v/>
      </c>
      <c r="J459" s="6"/>
      <c r="K459" s="6"/>
    </row>
    <row r="460" spans="1:11" x14ac:dyDescent="0.25">
      <c r="A460" s="13" t="s">
        <v>991</v>
      </c>
      <c r="B460" s="13"/>
      <c r="C460" s="13"/>
      <c r="D460" s="6"/>
      <c r="E460" s="13"/>
      <c r="F460" s="8"/>
      <c r="G460" s="8"/>
      <c r="H460" s="8" t="str">
        <f t="shared" si="15"/>
        <v/>
      </c>
      <c r="I460" s="8" t="str">
        <f t="shared" ref="I460:I499" si="16">IF(OR(H460="",H460=0), "", IF(ISNUMBER(I459), I459+H460, H460))</f>
        <v/>
      </c>
      <c r="J460" s="6"/>
      <c r="K460" s="6"/>
    </row>
    <row r="461" spans="1:11" x14ac:dyDescent="0.25">
      <c r="A461" s="13" t="s">
        <v>992</v>
      </c>
      <c r="B461" s="13"/>
      <c r="C461" s="13"/>
      <c r="D461" s="6"/>
      <c r="E461" s="13"/>
      <c r="F461" s="8"/>
      <c r="G461" s="8"/>
      <c r="H461" s="8" t="str">
        <f t="shared" si="15"/>
        <v/>
      </c>
      <c r="I461" s="8" t="str">
        <f t="shared" si="16"/>
        <v/>
      </c>
      <c r="J461" s="6"/>
      <c r="K461" s="6"/>
    </row>
    <row r="462" spans="1:11" x14ac:dyDescent="0.25">
      <c r="A462" s="13" t="s">
        <v>993</v>
      </c>
      <c r="B462" s="13"/>
      <c r="C462" s="13"/>
      <c r="D462" s="6"/>
      <c r="E462" s="13"/>
      <c r="F462" s="8"/>
      <c r="G462" s="8"/>
      <c r="H462" s="8" t="str">
        <f t="shared" si="15"/>
        <v/>
      </c>
      <c r="I462" s="8" t="str">
        <f t="shared" si="16"/>
        <v/>
      </c>
      <c r="J462" s="6"/>
      <c r="K462" s="6"/>
    </row>
    <row r="463" spans="1:11" x14ac:dyDescent="0.25">
      <c r="A463" s="13" t="s">
        <v>994</v>
      </c>
      <c r="B463" s="13"/>
      <c r="C463" s="13"/>
      <c r="D463" s="6"/>
      <c r="E463" s="13"/>
      <c r="F463" s="8"/>
      <c r="G463" s="8"/>
      <c r="H463" s="8" t="str">
        <f t="shared" si="15"/>
        <v/>
      </c>
      <c r="I463" s="8" t="str">
        <f t="shared" si="16"/>
        <v/>
      </c>
      <c r="J463" s="6"/>
      <c r="K463" s="6"/>
    </row>
    <row r="464" spans="1:11" x14ac:dyDescent="0.25">
      <c r="A464" s="13" t="s">
        <v>995</v>
      </c>
      <c r="B464" s="13"/>
      <c r="C464" s="13"/>
      <c r="D464" s="6"/>
      <c r="E464" s="13"/>
      <c r="F464" s="8"/>
      <c r="G464" s="8"/>
      <c r="H464" s="8" t="str">
        <f t="shared" si="15"/>
        <v/>
      </c>
      <c r="I464" s="8" t="str">
        <f t="shared" si="16"/>
        <v/>
      </c>
      <c r="J464" s="6"/>
      <c r="K464" s="6"/>
    </row>
    <row r="465" spans="1:11" x14ac:dyDescent="0.25">
      <c r="A465" s="13" t="s">
        <v>996</v>
      </c>
      <c r="B465" s="13"/>
      <c r="C465" s="13"/>
      <c r="D465" s="6"/>
      <c r="E465" s="13"/>
      <c r="F465" s="8"/>
      <c r="G465" s="8"/>
      <c r="H465" s="8" t="str">
        <f t="shared" si="15"/>
        <v/>
      </c>
      <c r="I465" s="8" t="str">
        <f t="shared" si="16"/>
        <v/>
      </c>
      <c r="J465" s="6"/>
      <c r="K465" s="6"/>
    </row>
    <row r="466" spans="1:11" x14ac:dyDescent="0.25">
      <c r="A466" s="13" t="s">
        <v>997</v>
      </c>
      <c r="B466" s="13"/>
      <c r="C466" s="13"/>
      <c r="D466" s="6"/>
      <c r="E466" s="13"/>
      <c r="F466" s="8"/>
      <c r="G466" s="8"/>
      <c r="H466" s="8" t="str">
        <f t="shared" si="15"/>
        <v/>
      </c>
      <c r="I466" s="8" t="str">
        <f t="shared" si="16"/>
        <v/>
      </c>
      <c r="J466" s="6"/>
      <c r="K466" s="6"/>
    </row>
    <row r="467" spans="1:11" x14ac:dyDescent="0.25">
      <c r="A467" s="13" t="s">
        <v>998</v>
      </c>
      <c r="B467" s="13"/>
      <c r="C467" s="13"/>
      <c r="D467" s="6"/>
      <c r="E467" s="13"/>
      <c r="F467" s="8"/>
      <c r="G467" s="8"/>
      <c r="H467" s="8" t="str">
        <f t="shared" si="15"/>
        <v/>
      </c>
      <c r="I467" s="8" t="str">
        <f t="shared" si="16"/>
        <v/>
      </c>
      <c r="J467" s="6"/>
      <c r="K467" s="6"/>
    </row>
    <row r="468" spans="1:11" x14ac:dyDescent="0.25">
      <c r="A468" s="13" t="s">
        <v>999</v>
      </c>
      <c r="B468" s="13"/>
      <c r="C468" s="13"/>
      <c r="D468" s="6"/>
      <c r="E468" s="13"/>
      <c r="F468" s="8"/>
      <c r="G468" s="8"/>
      <c r="H468" s="8" t="str">
        <f t="shared" si="15"/>
        <v/>
      </c>
      <c r="I468" s="8" t="str">
        <f t="shared" si="16"/>
        <v/>
      </c>
      <c r="J468" s="6"/>
      <c r="K468" s="6"/>
    </row>
    <row r="469" spans="1:11" x14ac:dyDescent="0.25">
      <c r="A469" s="13" t="s">
        <v>1000</v>
      </c>
      <c r="B469" s="13"/>
      <c r="C469" s="13"/>
      <c r="D469" s="6"/>
      <c r="E469" s="13"/>
      <c r="F469" s="8"/>
      <c r="G469" s="8"/>
      <c r="H469" s="8" t="str">
        <f t="shared" si="15"/>
        <v/>
      </c>
      <c r="I469" s="8" t="str">
        <f t="shared" si="16"/>
        <v/>
      </c>
      <c r="J469" s="6"/>
      <c r="K469" s="6"/>
    </row>
    <row r="470" spans="1:11" x14ac:dyDescent="0.25">
      <c r="A470" s="13" t="s">
        <v>1001</v>
      </c>
      <c r="B470" s="13"/>
      <c r="C470" s="13"/>
      <c r="D470" s="6"/>
      <c r="E470" s="13"/>
      <c r="F470" s="8"/>
      <c r="G470" s="8"/>
      <c r="H470" s="8" t="str">
        <f t="shared" si="15"/>
        <v/>
      </c>
      <c r="I470" s="8" t="str">
        <f t="shared" si="16"/>
        <v/>
      </c>
      <c r="J470" s="6"/>
      <c r="K470" s="6"/>
    </row>
    <row r="471" spans="1:11" x14ac:dyDescent="0.25">
      <c r="A471" s="13" t="s">
        <v>1002</v>
      </c>
      <c r="B471" s="13"/>
      <c r="C471" s="13"/>
      <c r="D471" s="6"/>
      <c r="E471" s="13"/>
      <c r="F471" s="8"/>
      <c r="G471" s="8"/>
      <c r="H471" s="8" t="str">
        <f t="shared" si="15"/>
        <v/>
      </c>
      <c r="I471" s="8" t="str">
        <f t="shared" si="16"/>
        <v/>
      </c>
      <c r="J471" s="6"/>
      <c r="K471" s="6"/>
    </row>
    <row r="472" spans="1:11" x14ac:dyDescent="0.25">
      <c r="A472" s="13" t="s">
        <v>1003</v>
      </c>
      <c r="B472" s="13"/>
      <c r="C472" s="13"/>
      <c r="D472" s="6"/>
      <c r="E472" s="13"/>
      <c r="F472" s="8"/>
      <c r="G472" s="8"/>
      <c r="H472" s="8" t="str">
        <f t="shared" si="15"/>
        <v/>
      </c>
      <c r="I472" s="8" t="str">
        <f t="shared" si="16"/>
        <v/>
      </c>
      <c r="J472" s="6"/>
      <c r="K472" s="6"/>
    </row>
    <row r="473" spans="1:11" x14ac:dyDescent="0.25">
      <c r="A473" s="13" t="s">
        <v>1004</v>
      </c>
      <c r="B473" s="13"/>
      <c r="C473" s="13"/>
      <c r="D473" s="6"/>
      <c r="E473" s="13"/>
      <c r="F473" s="8"/>
      <c r="G473" s="8"/>
      <c r="H473" s="8" t="str">
        <f t="shared" si="15"/>
        <v/>
      </c>
      <c r="I473" s="8" t="str">
        <f t="shared" si="16"/>
        <v/>
      </c>
      <c r="J473" s="6"/>
      <c r="K473" s="6"/>
    </row>
    <row r="474" spans="1:11" x14ac:dyDescent="0.25">
      <c r="A474" s="13" t="s">
        <v>1005</v>
      </c>
      <c r="B474" s="13"/>
      <c r="C474" s="13"/>
      <c r="D474" s="6"/>
      <c r="E474" s="13"/>
      <c r="F474" s="8"/>
      <c r="G474" s="8"/>
      <c r="H474" s="8" t="str">
        <f t="shared" si="15"/>
        <v/>
      </c>
      <c r="I474" s="8" t="str">
        <f t="shared" si="16"/>
        <v/>
      </c>
      <c r="J474" s="6"/>
      <c r="K474" s="6"/>
    </row>
    <row r="475" spans="1:11" x14ac:dyDescent="0.25">
      <c r="A475" s="13" t="s">
        <v>1006</v>
      </c>
      <c r="B475" s="13"/>
      <c r="C475" s="13"/>
      <c r="D475" s="6"/>
      <c r="E475" s="13"/>
      <c r="F475" s="8"/>
      <c r="G475" s="8"/>
      <c r="H475" s="8" t="str">
        <f t="shared" si="15"/>
        <v/>
      </c>
      <c r="I475" s="8" t="str">
        <f t="shared" si="16"/>
        <v/>
      </c>
      <c r="J475" s="6"/>
      <c r="K475" s="6"/>
    </row>
    <row r="476" spans="1:11" x14ac:dyDescent="0.25">
      <c r="A476" s="13" t="s">
        <v>1007</v>
      </c>
      <c r="B476" s="13"/>
      <c r="C476" s="13"/>
      <c r="D476" s="6"/>
      <c r="E476" s="13"/>
      <c r="F476" s="8"/>
      <c r="G476" s="8"/>
      <c r="H476" s="8" t="str">
        <f t="shared" si="15"/>
        <v/>
      </c>
      <c r="I476" s="8" t="str">
        <f t="shared" si="16"/>
        <v/>
      </c>
      <c r="J476" s="6"/>
      <c r="K476" s="6"/>
    </row>
    <row r="477" spans="1:11" x14ac:dyDescent="0.25">
      <c r="A477" s="13" t="s">
        <v>1008</v>
      </c>
      <c r="B477" s="13"/>
      <c r="C477" s="13"/>
      <c r="D477" s="6"/>
      <c r="E477" s="13"/>
      <c r="F477" s="8"/>
      <c r="G477" s="8"/>
      <c r="H477" s="8" t="str">
        <f t="shared" si="15"/>
        <v/>
      </c>
      <c r="I477" s="8" t="str">
        <f t="shared" si="16"/>
        <v/>
      </c>
      <c r="J477" s="6"/>
      <c r="K477" s="6"/>
    </row>
    <row r="478" spans="1:11" x14ac:dyDescent="0.25">
      <c r="A478" s="13" t="s">
        <v>1009</v>
      </c>
      <c r="B478" s="13"/>
      <c r="C478" s="13"/>
      <c r="D478" s="6"/>
      <c r="E478" s="13"/>
      <c r="F478" s="8"/>
      <c r="G478" s="8"/>
      <c r="H478" s="8" t="str">
        <f t="shared" si="15"/>
        <v/>
      </c>
      <c r="I478" s="8" t="str">
        <f t="shared" si="16"/>
        <v/>
      </c>
      <c r="J478" s="6"/>
      <c r="K478" s="6"/>
    </row>
    <row r="479" spans="1:11" x14ac:dyDescent="0.25">
      <c r="A479" s="13" t="s">
        <v>1010</v>
      </c>
      <c r="B479" s="13"/>
      <c r="C479" s="13"/>
      <c r="D479" s="6"/>
      <c r="E479" s="13"/>
      <c r="F479" s="8"/>
      <c r="G479" s="8"/>
      <c r="H479" s="8" t="str">
        <f t="shared" si="15"/>
        <v/>
      </c>
      <c r="I479" s="8" t="str">
        <f t="shared" si="16"/>
        <v/>
      </c>
      <c r="J479" s="6"/>
      <c r="K479" s="6"/>
    </row>
    <row r="480" spans="1:11" x14ac:dyDescent="0.25">
      <c r="A480" s="13" t="s">
        <v>1011</v>
      </c>
      <c r="B480" s="13"/>
      <c r="C480" s="13"/>
      <c r="D480" s="6"/>
      <c r="E480" s="13"/>
      <c r="F480" s="8"/>
      <c r="G480" s="8"/>
      <c r="H480" s="8" t="str">
        <f t="shared" si="15"/>
        <v/>
      </c>
      <c r="I480" s="8" t="str">
        <f t="shared" si="16"/>
        <v/>
      </c>
      <c r="J480" s="6"/>
      <c r="K480" s="6"/>
    </row>
    <row r="481" spans="1:11" x14ac:dyDescent="0.25">
      <c r="A481" s="13" t="s">
        <v>1012</v>
      </c>
      <c r="B481" s="13"/>
      <c r="C481" s="13"/>
      <c r="D481" s="6"/>
      <c r="E481" s="13"/>
      <c r="F481" s="8"/>
      <c r="G481" s="8"/>
      <c r="H481" s="8" t="str">
        <f t="shared" si="15"/>
        <v/>
      </c>
      <c r="I481" s="8" t="str">
        <f t="shared" si="16"/>
        <v/>
      </c>
      <c r="J481" s="6"/>
      <c r="K481" s="6"/>
    </row>
    <row r="482" spans="1:11" x14ac:dyDescent="0.25">
      <c r="A482" s="13" t="s">
        <v>1013</v>
      </c>
      <c r="B482" s="13"/>
      <c r="C482" s="13"/>
      <c r="D482" s="6"/>
      <c r="E482" s="13"/>
      <c r="F482" s="8"/>
      <c r="G482" s="8"/>
      <c r="H482" s="8" t="str">
        <f t="shared" si="15"/>
        <v/>
      </c>
      <c r="I482" s="8" t="str">
        <f t="shared" si="16"/>
        <v/>
      </c>
      <c r="J482" s="6"/>
      <c r="K482" s="6"/>
    </row>
    <row r="483" spans="1:11" x14ac:dyDescent="0.25">
      <c r="A483" s="13" t="s">
        <v>1014</v>
      </c>
      <c r="B483" s="13"/>
      <c r="C483" s="13"/>
      <c r="D483" s="6"/>
      <c r="E483" s="13"/>
      <c r="F483" s="8"/>
      <c r="G483" s="8"/>
      <c r="H483" s="8" t="str">
        <f t="shared" si="15"/>
        <v/>
      </c>
      <c r="I483" s="8" t="str">
        <f t="shared" si="16"/>
        <v/>
      </c>
      <c r="J483" s="6"/>
      <c r="K483" s="6"/>
    </row>
    <row r="484" spans="1:11" x14ac:dyDescent="0.25">
      <c r="A484" s="13" t="s">
        <v>1015</v>
      </c>
      <c r="B484" s="13"/>
      <c r="C484" s="13"/>
      <c r="D484" s="6"/>
      <c r="E484" s="13"/>
      <c r="F484" s="8"/>
      <c r="G484" s="8"/>
      <c r="H484" s="8" t="str">
        <f t="shared" si="15"/>
        <v/>
      </c>
      <c r="I484" s="8" t="str">
        <f t="shared" si="16"/>
        <v/>
      </c>
      <c r="J484" s="6"/>
      <c r="K484" s="6"/>
    </row>
    <row r="485" spans="1:11" x14ac:dyDescent="0.25">
      <c r="A485" s="13" t="s">
        <v>1016</v>
      </c>
      <c r="B485" s="13"/>
      <c r="C485" s="13"/>
      <c r="D485" s="6"/>
      <c r="E485" s="13"/>
      <c r="F485" s="8"/>
      <c r="G485" s="8"/>
      <c r="H485" s="8" t="str">
        <f t="shared" si="15"/>
        <v/>
      </c>
      <c r="I485" s="8" t="str">
        <f t="shared" si="16"/>
        <v/>
      </c>
      <c r="J485" s="6"/>
      <c r="K485" s="6"/>
    </row>
    <row r="486" spans="1:11" x14ac:dyDescent="0.25">
      <c r="A486" s="13" t="s">
        <v>1017</v>
      </c>
      <c r="B486" s="13"/>
      <c r="C486" s="13"/>
      <c r="D486" s="6"/>
      <c r="E486" s="13"/>
      <c r="F486" s="8"/>
      <c r="G486" s="8"/>
      <c r="H486" s="8" t="str">
        <f t="shared" si="15"/>
        <v/>
      </c>
      <c r="I486" s="8" t="str">
        <f t="shared" si="16"/>
        <v/>
      </c>
      <c r="J486" s="6"/>
      <c r="K486" s="6"/>
    </row>
    <row r="487" spans="1:11" x14ac:dyDescent="0.25">
      <c r="A487" s="13" t="s">
        <v>1018</v>
      </c>
      <c r="B487" s="13"/>
      <c r="C487" s="13"/>
      <c r="D487" s="6"/>
      <c r="E487" s="13"/>
      <c r="F487" s="8"/>
      <c r="G487" s="8"/>
      <c r="H487" s="8" t="str">
        <f t="shared" si="15"/>
        <v/>
      </c>
      <c r="I487" s="8" t="str">
        <f t="shared" si="16"/>
        <v/>
      </c>
      <c r="J487" s="6"/>
      <c r="K487" s="6"/>
    </row>
    <row r="488" spans="1:11" x14ac:dyDescent="0.25">
      <c r="A488" s="13" t="s">
        <v>1019</v>
      </c>
      <c r="B488" s="13"/>
      <c r="C488" s="13"/>
      <c r="D488" s="6"/>
      <c r="E488" s="13"/>
      <c r="F488" s="8"/>
      <c r="G488" s="8"/>
      <c r="H488" s="8" t="str">
        <f t="shared" si="15"/>
        <v/>
      </c>
      <c r="I488" s="8" t="str">
        <f t="shared" si="16"/>
        <v/>
      </c>
      <c r="J488" s="6"/>
      <c r="K488" s="6"/>
    </row>
    <row r="489" spans="1:11" x14ac:dyDescent="0.25">
      <c r="A489" s="13" t="s">
        <v>1020</v>
      </c>
      <c r="B489" s="13"/>
      <c r="C489" s="13"/>
      <c r="D489" s="6"/>
      <c r="E489" s="13"/>
      <c r="F489" s="8"/>
      <c r="G489" s="8"/>
      <c r="H489" s="8" t="str">
        <f t="shared" si="15"/>
        <v/>
      </c>
      <c r="I489" s="8" t="str">
        <f t="shared" si="16"/>
        <v/>
      </c>
      <c r="J489" s="6"/>
      <c r="K489" s="6"/>
    </row>
    <row r="490" spans="1:11" x14ac:dyDescent="0.25">
      <c r="A490" s="13" t="s">
        <v>1021</v>
      </c>
      <c r="B490" s="13"/>
      <c r="C490" s="13"/>
      <c r="D490" s="6"/>
      <c r="E490" s="13"/>
      <c r="F490" s="8"/>
      <c r="G490" s="8"/>
      <c r="H490" s="8" t="str">
        <f t="shared" si="15"/>
        <v/>
      </c>
      <c r="I490" s="8" t="str">
        <f t="shared" si="16"/>
        <v/>
      </c>
      <c r="J490" s="6"/>
      <c r="K490" s="6"/>
    </row>
    <row r="491" spans="1:11" x14ac:dyDescent="0.25">
      <c r="A491" s="13" t="s">
        <v>1022</v>
      </c>
      <c r="B491" s="13"/>
      <c r="C491" s="13"/>
      <c r="D491" s="6"/>
      <c r="E491" s="13"/>
      <c r="F491" s="8"/>
      <c r="G491" s="8"/>
      <c r="H491" s="8" t="str">
        <f t="shared" si="15"/>
        <v/>
      </c>
      <c r="I491" s="8" t="str">
        <f t="shared" si="16"/>
        <v/>
      </c>
      <c r="J491" s="6"/>
      <c r="K491" s="6"/>
    </row>
    <row r="492" spans="1:11" x14ac:dyDescent="0.25">
      <c r="A492" s="13" t="s">
        <v>1023</v>
      </c>
      <c r="B492" s="13"/>
      <c r="C492" s="13"/>
      <c r="D492" s="6"/>
      <c r="E492" s="13"/>
      <c r="F492" s="8"/>
      <c r="G492" s="8"/>
      <c r="H492" s="8" t="str">
        <f t="shared" si="15"/>
        <v/>
      </c>
      <c r="I492" s="8" t="str">
        <f t="shared" si="16"/>
        <v/>
      </c>
      <c r="J492" s="6"/>
      <c r="K492" s="6"/>
    </row>
    <row r="493" spans="1:11" x14ac:dyDescent="0.25">
      <c r="A493" s="13" t="s">
        <v>1024</v>
      </c>
      <c r="B493" s="13"/>
      <c r="C493" s="13"/>
      <c r="D493" s="6"/>
      <c r="E493" s="13"/>
      <c r="F493" s="8"/>
      <c r="G493" s="8"/>
      <c r="H493" s="8" t="str">
        <f t="shared" si="15"/>
        <v/>
      </c>
      <c r="I493" s="8" t="str">
        <f t="shared" si="16"/>
        <v/>
      </c>
      <c r="J493" s="6"/>
      <c r="K493" s="6"/>
    </row>
    <row r="494" spans="1:11" x14ac:dyDescent="0.25">
      <c r="A494" s="13" t="s">
        <v>1025</v>
      </c>
      <c r="B494" s="13"/>
      <c r="C494" s="13"/>
      <c r="D494" s="6"/>
      <c r="E494" s="13"/>
      <c r="F494" s="8"/>
      <c r="G494" s="8"/>
      <c r="H494" s="8" t="str">
        <f t="shared" si="15"/>
        <v/>
      </c>
      <c r="I494" s="8" t="str">
        <f t="shared" si="16"/>
        <v/>
      </c>
      <c r="J494" s="6"/>
      <c r="K494" s="6"/>
    </row>
    <row r="495" spans="1:11" x14ac:dyDescent="0.25">
      <c r="A495" s="13" t="s">
        <v>1026</v>
      </c>
      <c r="B495" s="13"/>
      <c r="C495" s="13"/>
      <c r="D495" s="6"/>
      <c r="E495" s="13"/>
      <c r="F495" s="8"/>
      <c r="G495" s="8"/>
      <c r="H495" s="8" t="str">
        <f t="shared" si="15"/>
        <v/>
      </c>
      <c r="I495" s="8" t="str">
        <f t="shared" si="16"/>
        <v/>
      </c>
      <c r="J495" s="6"/>
      <c r="K495" s="6"/>
    </row>
    <row r="496" spans="1:11" x14ac:dyDescent="0.25">
      <c r="A496" s="13" t="s">
        <v>1027</v>
      </c>
      <c r="B496" s="13"/>
      <c r="C496" s="13"/>
      <c r="D496" s="6"/>
      <c r="E496" s="13"/>
      <c r="F496" s="8"/>
      <c r="G496" s="8"/>
      <c r="H496" s="8" t="str">
        <f t="shared" si="15"/>
        <v/>
      </c>
      <c r="I496" s="8" t="str">
        <f t="shared" si="16"/>
        <v/>
      </c>
      <c r="J496" s="6"/>
      <c r="K496" s="6"/>
    </row>
    <row r="497" spans="1:11" x14ac:dyDescent="0.25">
      <c r="A497" s="13" t="s">
        <v>1028</v>
      </c>
      <c r="B497" s="13"/>
      <c r="C497" s="13"/>
      <c r="D497" s="6"/>
      <c r="E497" s="13"/>
      <c r="F497" s="8"/>
      <c r="G497" s="8"/>
      <c r="H497" s="8" t="str">
        <f t="shared" si="15"/>
        <v/>
      </c>
      <c r="I497" s="8" t="str">
        <f t="shared" si="16"/>
        <v/>
      </c>
      <c r="J497" s="6"/>
      <c r="K497" s="6"/>
    </row>
    <row r="498" spans="1:11" x14ac:dyDescent="0.25">
      <c r="A498" s="13" t="s">
        <v>1029</v>
      </c>
      <c r="B498" s="13"/>
      <c r="C498" s="13"/>
      <c r="D498" s="6"/>
      <c r="E498" s="13"/>
      <c r="F498" s="8"/>
      <c r="G498" s="8"/>
      <c r="H498" s="8" t="str">
        <f t="shared" si="15"/>
        <v/>
      </c>
      <c r="I498" s="8" t="str">
        <f t="shared" si="16"/>
        <v/>
      </c>
      <c r="J498" s="6"/>
      <c r="K498" s="6"/>
    </row>
    <row r="499" spans="1:11" x14ac:dyDescent="0.25">
      <c r="A499" s="13" t="s">
        <v>1030</v>
      </c>
      <c r="B499" s="13"/>
      <c r="C499" s="13"/>
      <c r="D499" s="6"/>
      <c r="E499" s="13"/>
      <c r="F499" s="8"/>
      <c r="G499" s="8"/>
      <c r="H499" s="8" t="str">
        <f t="shared" si="15"/>
        <v/>
      </c>
      <c r="I499" s="8" t="str">
        <f t="shared" si="16"/>
        <v/>
      </c>
      <c r="J499" s="6"/>
      <c r="K499" s="6"/>
    </row>
    <row r="500" spans="1:11" x14ac:dyDescent="0.25">
      <c r="A500" s="39" t="s">
        <v>1031</v>
      </c>
      <c r="B500" s="40"/>
      <c r="C500" s="40"/>
      <c r="D500" s="40"/>
      <c r="E500" s="40"/>
      <c r="F500" s="16">
        <f>SUM(F5:F499)</f>
        <v>281800</v>
      </c>
      <c r="G500" s="15"/>
      <c r="H500" s="16">
        <f>SUM(H5:H499)</f>
        <v>30534298.100000001</v>
      </c>
      <c r="I500" s="16">
        <f>MAX(I5:I499)</f>
        <v>204714360</v>
      </c>
      <c r="J500" s="15"/>
      <c r="K500" s="15"/>
    </row>
    <row r="501" spans="1:11" x14ac:dyDescent="0.25">
      <c r="I501" s="38"/>
    </row>
  </sheetData>
  <mergeCells count="2">
    <mergeCell ref="A500:E500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6" workbookViewId="0">
      <selection activeCell="J36" sqref="J36"/>
    </sheetView>
  </sheetViews>
  <sheetFormatPr defaultRowHeight="15" x14ac:dyDescent="0.25"/>
  <cols>
    <col min="1" max="1" width="16" customWidth="1"/>
    <col min="2" max="2" width="42" customWidth="1"/>
    <col min="3" max="3" width="25" customWidth="1"/>
    <col min="4" max="4" width="15" customWidth="1"/>
    <col min="5" max="6" width="22" customWidth="1"/>
    <col min="7" max="7" width="28" customWidth="1"/>
    <col min="8" max="8" width="24" customWidth="1"/>
    <col min="9" max="9" width="30" customWidth="1"/>
    <col min="10" max="10" width="26" customWidth="1"/>
    <col min="11" max="11" width="42" customWidth="1"/>
  </cols>
  <sheetData>
    <row r="1" spans="1:11" ht="19.5" x14ac:dyDescent="0.3">
      <c r="A1" s="1" t="s">
        <v>1032</v>
      </c>
    </row>
    <row r="2" spans="1:11" x14ac:dyDescent="0.25">
      <c r="A2" s="2" t="s">
        <v>1033</v>
      </c>
    </row>
    <row r="4" spans="1:11" x14ac:dyDescent="0.25">
      <c r="A4" s="52" t="s">
        <v>1054</v>
      </c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1:11" x14ac:dyDescent="0.25">
      <c r="A5" s="2"/>
    </row>
    <row r="6" spans="1:11" ht="25.5" x14ac:dyDescent="0.25">
      <c r="A6" s="20" t="s">
        <v>1034</v>
      </c>
      <c r="B6" s="20" t="s">
        <v>1035</v>
      </c>
      <c r="C6" s="20" t="s">
        <v>1055</v>
      </c>
      <c r="D6" s="20" t="s">
        <v>1036</v>
      </c>
      <c r="E6" s="20" t="s">
        <v>1056</v>
      </c>
      <c r="F6" s="20" t="s">
        <v>1057</v>
      </c>
      <c r="G6" s="20" t="s">
        <v>1058</v>
      </c>
      <c r="H6" s="20" t="s">
        <v>1059</v>
      </c>
      <c r="I6" s="20" t="s">
        <v>1060</v>
      </c>
      <c r="J6" s="20" t="s">
        <v>1061</v>
      </c>
      <c r="K6" s="20" t="s">
        <v>1037</v>
      </c>
    </row>
    <row r="7" spans="1:11" x14ac:dyDescent="0.25">
      <c r="A7" s="22">
        <v>46063</v>
      </c>
      <c r="B7" s="18" t="s">
        <v>1042</v>
      </c>
      <c r="C7" s="19">
        <v>4300000</v>
      </c>
      <c r="D7" s="17" t="s">
        <v>536</v>
      </c>
      <c r="E7" s="19">
        <v>86000</v>
      </c>
      <c r="F7" s="19">
        <v>51.8</v>
      </c>
      <c r="G7" s="19">
        <f>IF(AND(ISNUMBER(E7),ISNUMBER(F7),E7&gt;0,F7&gt;0), ROUND(E7*F7, 2), IF(E7&gt;0, E7, 0))</f>
        <v>4454800</v>
      </c>
      <c r="H7" s="19">
        <f>C7-G7</f>
        <v>-154800</v>
      </c>
      <c r="I7" s="17" t="s">
        <v>1046</v>
      </c>
      <c r="J7" s="19">
        <f>H7</f>
        <v>-154800</v>
      </c>
      <c r="K7" s="18"/>
    </row>
    <row r="8" spans="1:11" x14ac:dyDescent="0.25">
      <c r="A8" s="13"/>
      <c r="B8" s="6"/>
      <c r="C8" s="8"/>
      <c r="D8" s="13"/>
      <c r="E8" s="8"/>
      <c r="F8" s="8"/>
      <c r="G8" s="8"/>
      <c r="H8" s="8"/>
      <c r="I8" s="13"/>
      <c r="J8" s="8"/>
      <c r="K8" s="6"/>
    </row>
    <row r="9" spans="1:11" x14ac:dyDescent="0.25">
      <c r="A9" s="13"/>
      <c r="B9" s="6"/>
      <c r="C9" s="8"/>
      <c r="D9" s="13"/>
      <c r="E9" s="8"/>
      <c r="F9" s="8"/>
      <c r="G9" s="8"/>
      <c r="H9" s="8"/>
      <c r="I9" s="13"/>
      <c r="J9" s="8"/>
      <c r="K9" s="6"/>
    </row>
    <row r="10" spans="1:11" x14ac:dyDescent="0.25">
      <c r="A10" s="13"/>
      <c r="B10" s="6"/>
      <c r="C10" s="8"/>
      <c r="D10" s="13"/>
      <c r="E10" s="8"/>
      <c r="F10" s="8"/>
      <c r="G10" s="8"/>
      <c r="H10" s="8"/>
      <c r="I10" s="13"/>
      <c r="J10" s="8"/>
      <c r="K10" s="6"/>
    </row>
    <row r="11" spans="1:11" x14ac:dyDescent="0.25">
      <c r="A11" s="13"/>
      <c r="B11" s="6"/>
      <c r="C11" s="8"/>
      <c r="D11" s="13"/>
      <c r="E11" s="8"/>
      <c r="F11" s="8"/>
      <c r="G11" s="8" t="str">
        <f>IF(AND(ISNUMBER(E11),ISNUMBER(F11),E11&gt;0,F11&gt;0), ROUND(E11*F11, 2), "")</f>
        <v/>
      </c>
      <c r="H11" s="8"/>
      <c r="I11" s="13" t="str">
        <f>IF(H11="","", IF(H11&gt;0, "Friend Holds Surplus (අපට ලැබිය යුතු)", IF(H11&lt;0, "We Owe Friend (අප දිය යුතු)", "Balanced / සමබරයි")))</f>
        <v/>
      </c>
      <c r="J11" s="8" t="str">
        <f>IF(H11="","", IF(ISNUMBER(J10), J10+H11, H11))</f>
        <v/>
      </c>
      <c r="K11" s="6"/>
    </row>
    <row r="12" spans="1:11" x14ac:dyDescent="0.25">
      <c r="A12" s="13"/>
      <c r="B12" s="6"/>
      <c r="C12" s="8"/>
      <c r="D12" s="13"/>
      <c r="E12" s="8"/>
      <c r="F12" s="8"/>
      <c r="G12" s="8" t="str">
        <f>IF(AND(ISNUMBER(E12),ISNUMBER(F12),E12&gt;0,F12&gt;0), ROUND(E12*F12, 2), "")</f>
        <v/>
      </c>
      <c r="H12" s="8"/>
      <c r="I12" s="13" t="str">
        <f>IF(H12="","", IF(H12&gt;0, "Friend Holds Surplus (අපට ලැබිය යුතු)", IF(H12&lt;0, "We Owe Friend (අප දිය යුතු)", "Balanced / සමබරයි")))</f>
        <v/>
      </c>
      <c r="J12" s="8" t="str">
        <f>IF(H12="","", IF(ISNUMBER(J11), J11+H12, H12))</f>
        <v/>
      </c>
      <c r="K12" s="6"/>
    </row>
    <row r="13" spans="1:11" x14ac:dyDescent="0.25">
      <c r="A13" s="13"/>
      <c r="B13" s="6"/>
      <c r="C13" s="8"/>
      <c r="D13" s="13"/>
      <c r="E13" s="8"/>
      <c r="F13" s="8"/>
      <c r="G13" s="8" t="str">
        <f>IF(AND(ISNUMBER(E13),ISNUMBER(F13),E13&gt;0,F13&gt;0), ROUND(E13*F13, 2), "")</f>
        <v/>
      </c>
      <c r="H13" s="8"/>
      <c r="I13" s="13" t="str">
        <f>IF(H13="","", IF(H13&gt;0, "Friend Holds Surplus (අපට ලැබිය යුතු)", IF(H13&lt;0, "We Owe Friend (අප දිය යුතු)", "Balanced / සමබරයි")))</f>
        <v/>
      </c>
      <c r="J13" s="8" t="str">
        <f>IF(H13="","", IF(ISNUMBER(J12), J12+H13, H13))</f>
        <v/>
      </c>
      <c r="K13" s="6"/>
    </row>
    <row r="14" spans="1:11" x14ac:dyDescent="0.25">
      <c r="A14" s="13"/>
      <c r="B14" s="6"/>
      <c r="C14" s="8"/>
      <c r="D14" s="13"/>
      <c r="E14" s="8"/>
      <c r="F14" s="8"/>
      <c r="G14" s="8" t="str">
        <f>IF(AND(ISNUMBER(E14),ISNUMBER(F14),E14&gt;0,F14&gt;0), ROUND(E14*F14, 2), "")</f>
        <v/>
      </c>
      <c r="H14" s="8"/>
      <c r="I14" s="13" t="str">
        <f>IF(H14="","", IF(H14&gt;0, "Friend Holds Surplus (අපට ලැබිය යුතු)", IF(H14&lt;0, "We Owe Friend (අප දිය යුතු)", "Balanced / සමබරයි")))</f>
        <v/>
      </c>
      <c r="J14" s="8" t="str">
        <f>IF(H14="","", IF(ISNUMBER(J13), J13+H14, H14))</f>
        <v/>
      </c>
      <c r="K14" s="6"/>
    </row>
    <row r="15" spans="1:11" x14ac:dyDescent="0.25">
      <c r="A15" s="51" t="s">
        <v>1038</v>
      </c>
      <c r="B15" s="40"/>
      <c r="C15" s="16">
        <f>SUM(C7:C14)</f>
        <v>4300000</v>
      </c>
      <c r="D15" s="15"/>
      <c r="E15" s="16">
        <f>SUM(E7:E14)</f>
        <v>86000</v>
      </c>
      <c r="F15" s="15"/>
      <c r="G15" s="16">
        <f>SUM(G7:G14)</f>
        <v>4454800</v>
      </c>
      <c r="H15" s="16">
        <f>C15-G15</f>
        <v>-154800</v>
      </c>
      <c r="I15" s="21" t="s">
        <v>1046</v>
      </c>
      <c r="J15" s="16">
        <f>H15</f>
        <v>-154800</v>
      </c>
      <c r="K15" s="15"/>
    </row>
    <row r="17" spans="1:11" x14ac:dyDescent="0.25">
      <c r="A17" s="52" t="s">
        <v>1043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spans="1:11" x14ac:dyDescent="0.25">
      <c r="A18" s="2"/>
    </row>
    <row r="19" spans="1:11" ht="25.5" x14ac:dyDescent="0.25">
      <c r="A19" s="20" t="s">
        <v>1034</v>
      </c>
      <c r="B19" s="20" t="s">
        <v>1035</v>
      </c>
      <c r="C19" s="20" t="s">
        <v>1055</v>
      </c>
      <c r="D19" s="20" t="s">
        <v>1036</v>
      </c>
      <c r="E19" s="20" t="s">
        <v>1056</v>
      </c>
      <c r="F19" s="20" t="s">
        <v>1057</v>
      </c>
      <c r="G19" s="20" t="s">
        <v>1058</v>
      </c>
      <c r="H19" s="20" t="s">
        <v>1059</v>
      </c>
      <c r="I19" s="20" t="s">
        <v>1060</v>
      </c>
      <c r="J19" s="20" t="s">
        <v>1061</v>
      </c>
      <c r="K19" s="20" t="s">
        <v>1037</v>
      </c>
    </row>
    <row r="20" spans="1:11" x14ac:dyDescent="0.25">
      <c r="A20" s="23">
        <v>46032</v>
      </c>
      <c r="B20" s="6" t="s">
        <v>1044</v>
      </c>
      <c r="C20" s="8">
        <v>2500000</v>
      </c>
      <c r="D20" s="13" t="s">
        <v>536</v>
      </c>
      <c r="E20" s="8">
        <v>60000</v>
      </c>
      <c r="F20" s="8">
        <v>51.9</v>
      </c>
      <c r="G20" s="8">
        <f>SUM(F20*E20)</f>
        <v>3114000</v>
      </c>
      <c r="H20" s="8"/>
      <c r="I20" s="13" t="s">
        <v>1046</v>
      </c>
      <c r="J20" s="8"/>
      <c r="K20" s="6"/>
    </row>
    <row r="21" spans="1:11" x14ac:dyDescent="0.25">
      <c r="A21" s="23">
        <v>46032</v>
      </c>
      <c r="B21" s="6" t="s">
        <v>1045</v>
      </c>
      <c r="C21" s="8">
        <v>2450000</v>
      </c>
      <c r="D21" s="13" t="s">
        <v>536</v>
      </c>
      <c r="E21" s="8">
        <v>15000</v>
      </c>
      <c r="F21" s="8">
        <v>51.9</v>
      </c>
      <c r="G21" s="8">
        <f>IF(AND(ISNUMBER(E21),ISNUMBER(F21),E21&gt;0,F21&gt;0), ROUND(E21*F21, 2), "")</f>
        <v>778500</v>
      </c>
      <c r="H21" s="8"/>
      <c r="I21" s="13" t="str">
        <f>IF(H21="","", IF(H21&gt;0, "Friend Holds Surplus (අපට ලැබිය යුතු)", IF(H21&lt;0, "We Owe Friend (අප දිය යුතු)", "Balanced / සමබරයි")))</f>
        <v/>
      </c>
      <c r="J21" s="8" t="str">
        <f>IF(H21="","", IF(ISNUMBER(J20), J20+H21, H21))</f>
        <v/>
      </c>
      <c r="K21" s="6"/>
    </row>
    <row r="22" spans="1:11" x14ac:dyDescent="0.25">
      <c r="A22" s="23">
        <v>46063</v>
      </c>
      <c r="B22" s="6" t="s">
        <v>1045</v>
      </c>
      <c r="C22" s="8">
        <v>40000</v>
      </c>
      <c r="D22" s="13" t="s">
        <v>536</v>
      </c>
      <c r="E22" s="8">
        <v>25000</v>
      </c>
      <c r="F22" s="8">
        <v>51.9</v>
      </c>
      <c r="G22" s="8">
        <f>IF(AND(ISNUMBER(E22),ISNUMBER(F22),E22&gt;0,F22&gt;0), ROUND(E22*F22, 2), "")</f>
        <v>1297500</v>
      </c>
      <c r="H22" s="8"/>
      <c r="I22" s="13" t="str">
        <f>IF(H22="","", IF(H22&gt;0, "Friend Holds Surplus (අපට ලැබිය යුතු)", IF(H22&lt;0, "We Owe Friend (අප දිය යුතු)", "Balanced / සමබරයි")))</f>
        <v/>
      </c>
      <c r="J22" s="8" t="str">
        <f>IF(H22="","", IF(ISNUMBER(J21), J21+H22, H22))</f>
        <v/>
      </c>
      <c r="K22" s="6"/>
    </row>
    <row r="23" spans="1:11" x14ac:dyDescent="0.25">
      <c r="A23" s="23">
        <v>46063</v>
      </c>
      <c r="B23" s="6"/>
      <c r="C23" s="8">
        <v>10000</v>
      </c>
      <c r="D23" s="13" t="s">
        <v>536</v>
      </c>
      <c r="E23" s="8"/>
      <c r="F23" s="8"/>
      <c r="G23" s="8" t="str">
        <f>IF(AND(ISNUMBER(E23),ISNUMBER(F23),E23&gt;0,F23&gt;0), ROUND(E23*F23, 2), "")</f>
        <v/>
      </c>
      <c r="H23" s="8"/>
      <c r="I23" s="13" t="str">
        <f>IF(H23="","", IF(H23&gt;0, "Friend Holds Surplus (අපට ලැබිය යුතු)", IF(H23&lt;0, "We Owe Friend (අප දිය යුතු)", "Balanced / සමබරයි")))</f>
        <v/>
      </c>
      <c r="J23" s="8" t="str">
        <f>IF(H23="","", IF(ISNUMBER(J22), J22+H23, H23))</f>
        <v/>
      </c>
      <c r="K23" s="6"/>
    </row>
    <row r="24" spans="1:11" x14ac:dyDescent="0.25">
      <c r="A24" s="23">
        <v>46091</v>
      </c>
      <c r="B24" s="6" t="s">
        <v>1052</v>
      </c>
      <c r="C24" s="8">
        <v>1000000</v>
      </c>
      <c r="D24" s="13" t="s">
        <v>536</v>
      </c>
      <c r="E24" s="8">
        <v>19800</v>
      </c>
      <c r="F24" s="8">
        <v>51.9</v>
      </c>
      <c r="G24" s="8">
        <f>SUM(F24*E24)</f>
        <v>1027620</v>
      </c>
      <c r="H24" s="8"/>
      <c r="I24" s="13"/>
      <c r="J24" s="8"/>
      <c r="K24" s="6"/>
    </row>
    <row r="25" spans="1:11" x14ac:dyDescent="0.25">
      <c r="A25" s="23">
        <v>46122</v>
      </c>
      <c r="B25" s="6" t="s">
        <v>1053</v>
      </c>
      <c r="C25" s="8">
        <v>3919330</v>
      </c>
      <c r="D25" s="13" t="s">
        <v>536</v>
      </c>
      <c r="E25" s="8">
        <v>76000</v>
      </c>
      <c r="F25" s="8">
        <v>51.9</v>
      </c>
      <c r="G25" s="8">
        <f>IF(AND(ISNUMBER(E25),ISNUMBER(F25),E25&gt;0,F25&gt;0), ROUND(E25*F25, 2), "")</f>
        <v>3944400</v>
      </c>
      <c r="H25" s="8"/>
      <c r="I25" s="13"/>
      <c r="J25" s="8" t="str">
        <f>IF(H25="","", IF(ISNUMBER(J17), J17+H25, H25))</f>
        <v/>
      </c>
      <c r="K25" s="6"/>
    </row>
    <row r="26" spans="1:11" x14ac:dyDescent="0.25">
      <c r="A26" s="23">
        <v>46122</v>
      </c>
      <c r="B26" s="6"/>
      <c r="C26" s="8">
        <v>190000</v>
      </c>
      <c r="D26" s="13"/>
      <c r="E26" s="8"/>
      <c r="F26" s="8"/>
      <c r="G26" s="8"/>
      <c r="H26" s="8"/>
      <c r="I26" s="13"/>
      <c r="J26" s="8"/>
      <c r="K26" s="6"/>
    </row>
    <row r="27" spans="1:11" x14ac:dyDescent="0.25">
      <c r="A27" s="23"/>
      <c r="B27" s="6"/>
      <c r="C27" s="8"/>
      <c r="D27" s="13"/>
      <c r="E27" s="8"/>
      <c r="F27" s="8"/>
      <c r="G27" s="8"/>
      <c r="H27" s="8"/>
      <c r="I27" s="13"/>
      <c r="J27" s="8"/>
      <c r="K27" s="6"/>
    </row>
    <row r="28" spans="1:11" x14ac:dyDescent="0.25">
      <c r="A28" s="23"/>
      <c r="B28" s="6"/>
      <c r="C28" s="8"/>
      <c r="D28" s="13"/>
      <c r="E28" s="8"/>
      <c r="F28" s="8"/>
      <c r="G28" s="8"/>
      <c r="H28" s="8"/>
      <c r="I28" s="13"/>
      <c r="J28" s="8"/>
      <c r="K28" s="6"/>
    </row>
    <row r="29" spans="1:11" x14ac:dyDescent="0.25">
      <c r="A29" s="23"/>
      <c r="B29" s="6"/>
      <c r="C29" s="8"/>
      <c r="D29" s="13"/>
      <c r="E29" s="8"/>
      <c r="F29" s="8"/>
      <c r="G29" s="8"/>
      <c r="H29" s="8"/>
      <c r="I29" s="13"/>
      <c r="J29" s="8"/>
      <c r="K29" s="6"/>
    </row>
    <row r="30" spans="1:11" x14ac:dyDescent="0.25">
      <c r="A30" s="23"/>
      <c r="B30" s="6"/>
      <c r="C30" s="8"/>
      <c r="D30" s="13"/>
      <c r="E30" s="8"/>
      <c r="F30" s="8"/>
      <c r="G30" s="8"/>
      <c r="H30" s="8"/>
      <c r="I30" s="13"/>
      <c r="J30" s="8"/>
      <c r="K30" s="6"/>
    </row>
    <row r="31" spans="1:11" x14ac:dyDescent="0.25">
      <c r="A31" s="23"/>
      <c r="B31" s="6"/>
      <c r="C31" s="8"/>
      <c r="D31" s="13"/>
      <c r="E31" s="8"/>
      <c r="F31" s="8"/>
      <c r="G31" s="8" t="str">
        <f>IF(AND(ISNUMBER(E31),ISNUMBER(F31),E31&gt;0,F31&gt;0), ROUND(E31*F31, 2), "")</f>
        <v/>
      </c>
      <c r="H31" s="8"/>
      <c r="I31" s="13"/>
      <c r="J31" s="8" t="str">
        <f>IF(H31="","", IF(ISNUMBER(J23), J23+H31, H31))</f>
        <v/>
      </c>
      <c r="K31" s="6"/>
    </row>
    <row r="32" spans="1:11" x14ac:dyDescent="0.25">
      <c r="A32" s="51" t="s">
        <v>1039</v>
      </c>
      <c r="B32" s="40"/>
      <c r="C32" s="16">
        <f>SUM(C20:C31)</f>
        <v>10109330</v>
      </c>
      <c r="D32" s="15"/>
      <c r="E32" s="16">
        <f>SUM(E20:E31)</f>
        <v>195800</v>
      </c>
      <c r="F32" s="15"/>
      <c r="G32" s="16">
        <f>SUM(G20:G31)</f>
        <v>10162020</v>
      </c>
      <c r="H32" s="16">
        <f>C32-G32</f>
        <v>-52690</v>
      </c>
      <c r="I32" s="21"/>
      <c r="J32" s="16">
        <f>H32</f>
        <v>-52690</v>
      </c>
      <c r="K32" s="15"/>
    </row>
    <row r="34" spans="1:11" x14ac:dyDescent="0.25">
      <c r="A34" s="52" t="s">
        <v>1062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</row>
    <row r="35" spans="1:11" x14ac:dyDescent="0.25">
      <c r="A35" s="2"/>
    </row>
    <row r="36" spans="1:11" ht="25.5" x14ac:dyDescent="0.25">
      <c r="A36" s="20" t="s">
        <v>1034</v>
      </c>
      <c r="B36" s="20" t="s">
        <v>1035</v>
      </c>
      <c r="C36" s="20" t="s">
        <v>1055</v>
      </c>
      <c r="D36" s="20" t="s">
        <v>1036</v>
      </c>
      <c r="E36" s="20" t="s">
        <v>1056</v>
      </c>
      <c r="F36" s="20" t="s">
        <v>1057</v>
      </c>
      <c r="G36" s="20" t="s">
        <v>1063</v>
      </c>
      <c r="H36" s="20" t="s">
        <v>1059</v>
      </c>
      <c r="I36" s="20" t="s">
        <v>1060</v>
      </c>
      <c r="J36" s="20" t="s">
        <v>1061</v>
      </c>
      <c r="K36" s="20" t="s">
        <v>1037</v>
      </c>
    </row>
    <row r="37" spans="1:11" x14ac:dyDescent="0.25">
      <c r="A37" s="13" t="s">
        <v>31</v>
      </c>
      <c r="B37" s="6" t="s">
        <v>1040</v>
      </c>
      <c r="C37" s="8"/>
      <c r="D37" s="13"/>
      <c r="E37" s="8"/>
      <c r="F37" s="8"/>
      <c r="G37" s="8"/>
      <c r="H37" s="8"/>
      <c r="I37" s="13"/>
      <c r="J37" s="8"/>
      <c r="K37" s="6"/>
    </row>
    <row r="38" spans="1:11" x14ac:dyDescent="0.25">
      <c r="A38" s="13"/>
      <c r="B38" s="6"/>
      <c r="C38" s="8"/>
      <c r="D38" s="13"/>
      <c r="E38" s="8"/>
      <c r="F38" s="8"/>
      <c r="G38" s="8"/>
      <c r="H38" s="8"/>
      <c r="I38" s="13"/>
      <c r="J38" s="8"/>
      <c r="K38" s="6"/>
    </row>
    <row r="39" spans="1:11" x14ac:dyDescent="0.25">
      <c r="A39" s="13"/>
      <c r="B39" s="6"/>
      <c r="C39" s="8"/>
      <c r="D39" s="13"/>
      <c r="E39" s="8"/>
      <c r="F39" s="8"/>
      <c r="G39" s="8"/>
      <c r="H39" s="8"/>
      <c r="I39" s="13"/>
      <c r="J39" s="8"/>
      <c r="K39" s="6"/>
    </row>
    <row r="40" spans="1:11" x14ac:dyDescent="0.25">
      <c r="A40" s="13"/>
      <c r="B40" s="6"/>
      <c r="C40" s="8"/>
      <c r="D40" s="13"/>
      <c r="E40" s="8"/>
      <c r="F40" s="8"/>
      <c r="G40" s="8" t="str">
        <f>IF(AND(ISNUMBER(E40),ISNUMBER(F40),E40&gt;0,F40&gt;0), ROUND(E40*F40, 2), "")</f>
        <v/>
      </c>
      <c r="H40" s="8"/>
      <c r="I40" s="13" t="str">
        <f>IF(H40="","", IF(H40&gt;0, "Friend Holds Surplus (අපට ලැබිය යුතු)", IF(H40&lt;0, "We Owe Friend (අප දිය යුතු)", "Balanced / සමබරයි")))</f>
        <v/>
      </c>
      <c r="J40" s="8" t="str">
        <f>IF(H40="","", IF(ISNUMBER(J39), J39+H40, H40))</f>
        <v/>
      </c>
      <c r="K40" s="6"/>
    </row>
    <row r="41" spans="1:11" x14ac:dyDescent="0.25">
      <c r="A41" s="13"/>
      <c r="B41" s="6"/>
      <c r="C41" s="8"/>
      <c r="D41" s="13"/>
      <c r="E41" s="8"/>
      <c r="F41" s="8"/>
      <c r="G41" s="8" t="str">
        <f>IF(AND(ISNUMBER(E41),ISNUMBER(F41),E41&gt;0,F41&gt;0), ROUND(E41*F41, 2), "")</f>
        <v/>
      </c>
      <c r="H41" s="8"/>
      <c r="I41" s="13" t="str">
        <f>IF(H41="","", IF(H41&gt;0, "Friend Holds Surplus (අපට ලැබිය යුතු)", IF(H41&lt;0, "We Owe Friend (අප දිය යුතු)", "Balanced / සමබරයි")))</f>
        <v/>
      </c>
      <c r="J41" s="8" t="str">
        <f>IF(H41="","", IF(ISNUMBER(J40), J40+H41, H41))</f>
        <v/>
      </c>
      <c r="K41" s="6"/>
    </row>
    <row r="42" spans="1:11" x14ac:dyDescent="0.25">
      <c r="A42" s="51" t="s">
        <v>1041</v>
      </c>
      <c r="B42" s="40"/>
      <c r="C42" s="16">
        <f>SUM(C37:C41)</f>
        <v>0</v>
      </c>
      <c r="D42" s="15"/>
      <c r="E42" s="16">
        <f>SUM(E37:E41)</f>
        <v>0</v>
      </c>
      <c r="F42" s="15"/>
      <c r="G42" s="16">
        <f>SUM(G37:G41)</f>
        <v>0</v>
      </c>
      <c r="H42" s="16">
        <f>C42-G42</f>
        <v>0</v>
      </c>
      <c r="I42" s="21"/>
      <c r="J42" s="16">
        <f>H42</f>
        <v>0</v>
      </c>
      <c r="K42" s="15"/>
    </row>
  </sheetData>
  <mergeCells count="6">
    <mergeCell ref="A42:B42"/>
    <mergeCell ref="A4:K4"/>
    <mergeCell ref="A15:B15"/>
    <mergeCell ref="A32:B32"/>
    <mergeCell ref="A17:K17"/>
    <mergeCell ref="A34:K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Dashboard</vt:lpstr>
      <vt:lpstr>Global Inflow Log</vt:lpstr>
      <vt:lpstr>China Outflow Log</vt:lpstr>
      <vt:lpstr>Friend &amp; Agent Settlement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2026-10-03T10:06:14Z</dcterms:created>
  <dcterms:modified xsi:type="dcterms:W3CDTF">2026-10-05T06:13:52Z</dcterms:modified>
</cp:coreProperties>
</file>